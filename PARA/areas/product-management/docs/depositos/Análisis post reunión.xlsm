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interbankpe-my.sharepoint.com/personal/kaquino_intercorp_com_pe1/Documents/Escritorio/"/>
    </mc:Choice>
  </mc:AlternateContent>
  <xr:revisionPtr revIDLastSave="55" documentId="8_{96B06AFB-7BE5-4937-B931-C6B477C4AF80}" xr6:coauthVersionLast="47" xr6:coauthVersionMax="47" xr10:uidLastSave="{76AB6816-F4D0-4D99-BEB9-5350AE26E2F6}"/>
  <bookViews>
    <workbookView xWindow="-110" yWindow="-110" windowWidth="19420" windowHeight="10420" xr2:uid="{2694E6D3-9104-4683-8F5B-66FD38BABE87}"/>
  </bookViews>
  <sheets>
    <sheet name="Abril" sheetId="1" r:id="rId1"/>
  </sheets>
  <functionGroups builtInGroupCount="19"/>
  <definedNames>
    <definedName name="_xlnm._FilterDatabase" localSheetId="0" hidden="1">Abril!$A$1:$AF$289</definedName>
    <definedName name="_xleta.MI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L2" i="1" l="1"/>
  <c r="AN2" i="1" s="1"/>
  <c r="AL3" i="1"/>
  <c r="AN3" i="1" s="1"/>
  <c r="AL4" i="1"/>
  <c r="AN4" i="1" s="1"/>
  <c r="AL5" i="1"/>
  <c r="AN5" i="1" s="1"/>
  <c r="AL6" i="1"/>
  <c r="AN6" i="1" s="1"/>
  <c r="AL7" i="1"/>
  <c r="AN7" i="1" s="1"/>
  <c r="AL8" i="1"/>
  <c r="AN8" i="1" s="1"/>
  <c r="AL9" i="1"/>
  <c r="AN9" i="1" s="1"/>
  <c r="AL10" i="1"/>
  <c r="AN10" i="1" s="1"/>
  <c r="AL11" i="1"/>
  <c r="AN11" i="1" s="1"/>
  <c r="AL12" i="1"/>
  <c r="AN12" i="1" s="1"/>
  <c r="AL13" i="1"/>
  <c r="AN13" i="1" s="1"/>
  <c r="AL14" i="1"/>
  <c r="AN14" i="1" s="1"/>
  <c r="AL15" i="1"/>
  <c r="AN15" i="1" s="1"/>
  <c r="AL16" i="1"/>
  <c r="AN16" i="1" s="1"/>
  <c r="AL17" i="1"/>
  <c r="AN17" i="1" s="1"/>
  <c r="AL18" i="1"/>
  <c r="AN18" i="1" s="1"/>
  <c r="AL19" i="1"/>
  <c r="AN19" i="1" s="1"/>
  <c r="AL20" i="1"/>
  <c r="AN20" i="1" s="1"/>
  <c r="AL21" i="1"/>
  <c r="AN21" i="1" s="1"/>
  <c r="AL22" i="1"/>
  <c r="AN22" i="1" s="1"/>
  <c r="AL23" i="1"/>
  <c r="AN23" i="1" s="1"/>
  <c r="AL24" i="1"/>
  <c r="AM24" i="1" s="1"/>
  <c r="AL25" i="1"/>
  <c r="AM25" i="1" s="1"/>
  <c r="AL26" i="1"/>
  <c r="AM26" i="1" s="1"/>
  <c r="AL27" i="1"/>
  <c r="AM27" i="1" s="1"/>
  <c r="AL28" i="1"/>
  <c r="AN28" i="1" s="1"/>
  <c r="AL29" i="1"/>
  <c r="AN29" i="1" s="1"/>
  <c r="AL30" i="1"/>
  <c r="AN30" i="1" s="1"/>
  <c r="AL31" i="1"/>
  <c r="AN31" i="1" s="1"/>
  <c r="AL32" i="1"/>
  <c r="AN32" i="1" s="1"/>
  <c r="AL33" i="1"/>
  <c r="AN33" i="1" s="1"/>
  <c r="AL34" i="1"/>
  <c r="AN34" i="1" s="1"/>
  <c r="AL35" i="1"/>
  <c r="AN35" i="1" s="1"/>
  <c r="AL36" i="1"/>
  <c r="AN36" i="1" s="1"/>
  <c r="AL37" i="1"/>
  <c r="AN37" i="1" s="1"/>
  <c r="AL38" i="1"/>
  <c r="AM38" i="1" s="1"/>
  <c r="AL39" i="1"/>
  <c r="AM39" i="1" s="1"/>
  <c r="AL40" i="1"/>
  <c r="AN40" i="1" s="1"/>
  <c r="AL41" i="1"/>
  <c r="AM41" i="1" s="1"/>
  <c r="AL42" i="1"/>
  <c r="AM42" i="1" s="1"/>
  <c r="AL43" i="1"/>
  <c r="AM43" i="1" s="1"/>
  <c r="AL44" i="1"/>
  <c r="AM44" i="1" s="1"/>
  <c r="AL45" i="1"/>
  <c r="AM45" i="1" s="1"/>
  <c r="AL46" i="1"/>
  <c r="AN46" i="1" s="1"/>
  <c r="AL47" i="1"/>
  <c r="AN47" i="1" s="1"/>
  <c r="AL48" i="1"/>
  <c r="AN48" i="1" s="1"/>
  <c r="AL49" i="1"/>
  <c r="AN49" i="1" s="1"/>
  <c r="AL50" i="1"/>
  <c r="AM50" i="1" s="1"/>
  <c r="AL51" i="1"/>
  <c r="AM51" i="1" s="1"/>
  <c r="AL52" i="1"/>
  <c r="AM52" i="1" s="1"/>
  <c r="AL53" i="1"/>
  <c r="AM53" i="1" s="1"/>
  <c r="AL54" i="1"/>
  <c r="AN54" i="1" s="1"/>
  <c r="AL55" i="1"/>
  <c r="AM55" i="1" s="1"/>
  <c r="AL56" i="1"/>
  <c r="AM56" i="1" s="1"/>
  <c r="AL57" i="1"/>
  <c r="AN57" i="1" s="1"/>
  <c r="AL58" i="1"/>
  <c r="AN58" i="1" s="1"/>
  <c r="AL59" i="1"/>
  <c r="AN59" i="1" s="1"/>
  <c r="AL60" i="1"/>
  <c r="AN60" i="1" s="1"/>
  <c r="AL61" i="1"/>
  <c r="AN61" i="1" s="1"/>
  <c r="AL62" i="1"/>
  <c r="AN62" i="1" s="1"/>
  <c r="AL63" i="1"/>
  <c r="AN63" i="1" s="1"/>
  <c r="AL64" i="1"/>
  <c r="AN64" i="1" s="1"/>
  <c r="AL65" i="1"/>
  <c r="AN65" i="1" s="1"/>
  <c r="AL66" i="1"/>
  <c r="AN66" i="1" s="1"/>
  <c r="AL67" i="1"/>
  <c r="AN67" i="1" s="1"/>
  <c r="AL68" i="1"/>
  <c r="AN68" i="1" s="1"/>
  <c r="AL69" i="1"/>
  <c r="AN69" i="1" s="1"/>
  <c r="AL70" i="1"/>
  <c r="AN70" i="1" s="1"/>
  <c r="AL71" i="1"/>
  <c r="AN71" i="1" s="1"/>
  <c r="AL72" i="1"/>
  <c r="AN72" i="1" s="1"/>
  <c r="AL73" i="1"/>
  <c r="AN73" i="1" s="1"/>
  <c r="AL74" i="1"/>
  <c r="AN74" i="1" s="1"/>
  <c r="AL75" i="1"/>
  <c r="AM75" i="1" s="1"/>
  <c r="AL76" i="1"/>
  <c r="AM76" i="1" s="1"/>
  <c r="AL77" i="1"/>
  <c r="AM77" i="1" s="1"/>
  <c r="AL78" i="1"/>
  <c r="AN78" i="1" s="1"/>
  <c r="AL79" i="1"/>
  <c r="AM79" i="1" s="1"/>
  <c r="AL80" i="1"/>
  <c r="AM80" i="1" s="1"/>
  <c r="AL81" i="1"/>
  <c r="AM81" i="1" s="1"/>
  <c r="AL82" i="1"/>
  <c r="AL83" i="1"/>
  <c r="AM83" i="1" s="1"/>
  <c r="AL84" i="1"/>
  <c r="AM84" i="1" s="1"/>
  <c r="AL85" i="1"/>
  <c r="AM85" i="1" s="1"/>
  <c r="AL86" i="1"/>
  <c r="AN86" i="1" s="1"/>
  <c r="AL87" i="1"/>
  <c r="AM87" i="1" s="1"/>
  <c r="AL88" i="1"/>
  <c r="AM88" i="1" s="1"/>
  <c r="AL89" i="1"/>
  <c r="AM89" i="1" s="1"/>
  <c r="AL90" i="1"/>
  <c r="AM90" i="1" s="1"/>
  <c r="AL91" i="1"/>
  <c r="AN91" i="1" s="1"/>
  <c r="AL92" i="1"/>
  <c r="AN92" i="1" s="1"/>
  <c r="AL93" i="1"/>
  <c r="AN93" i="1" s="1"/>
  <c r="AL94" i="1"/>
  <c r="AN94" i="1" s="1"/>
  <c r="AL95" i="1"/>
  <c r="AN95" i="1" s="1"/>
  <c r="AL96" i="1"/>
  <c r="AN96" i="1" s="1"/>
  <c r="AL97" i="1"/>
  <c r="AN97" i="1" s="1"/>
  <c r="AL98" i="1"/>
  <c r="AN98" i="1" s="1"/>
  <c r="AL99" i="1"/>
  <c r="AN99" i="1" s="1"/>
  <c r="AL100" i="1"/>
  <c r="AN100" i="1" s="1"/>
  <c r="AL101" i="1"/>
  <c r="AN101" i="1" s="1"/>
  <c r="AL102" i="1"/>
  <c r="AN102" i="1" s="1"/>
  <c r="AL103" i="1"/>
  <c r="AN103" i="1" s="1"/>
  <c r="AL104" i="1"/>
  <c r="AN104" i="1" s="1"/>
  <c r="AL105" i="1"/>
  <c r="AN105" i="1" s="1"/>
  <c r="AL106" i="1"/>
  <c r="AN106" i="1" s="1"/>
  <c r="AL107" i="1"/>
  <c r="AN107" i="1" s="1"/>
  <c r="AL108" i="1"/>
  <c r="AN108" i="1" s="1"/>
  <c r="AL109" i="1"/>
  <c r="AN109" i="1" s="1"/>
  <c r="AL110" i="1"/>
  <c r="AN110" i="1" s="1"/>
  <c r="AL111" i="1"/>
  <c r="AN111" i="1" s="1"/>
  <c r="AL112" i="1"/>
  <c r="AN112" i="1" s="1"/>
  <c r="AL113" i="1"/>
  <c r="AN113" i="1" s="1"/>
  <c r="AL114" i="1"/>
  <c r="AN114" i="1" s="1"/>
  <c r="AL115" i="1"/>
  <c r="AN115" i="1" s="1"/>
  <c r="AL116" i="1"/>
  <c r="AN116" i="1" s="1"/>
  <c r="AL117" i="1"/>
  <c r="AN117" i="1" s="1"/>
  <c r="AL118" i="1"/>
  <c r="AN118" i="1" s="1"/>
  <c r="AL119" i="1"/>
  <c r="AN119" i="1" s="1"/>
  <c r="AL120" i="1"/>
  <c r="AN120" i="1" s="1"/>
  <c r="AL121" i="1"/>
  <c r="AN121" i="1" s="1"/>
  <c r="AL122" i="1"/>
  <c r="AN122" i="1" s="1"/>
  <c r="AL123" i="1"/>
  <c r="AN123" i="1" s="1"/>
  <c r="AL124" i="1"/>
  <c r="AN124" i="1" s="1"/>
  <c r="AL125" i="1"/>
  <c r="AN125" i="1" s="1"/>
  <c r="AL126" i="1"/>
  <c r="AN126" i="1" s="1"/>
  <c r="AL127" i="1"/>
  <c r="AN127" i="1" s="1"/>
  <c r="AL128" i="1"/>
  <c r="AN128" i="1" s="1"/>
  <c r="AL129" i="1"/>
  <c r="AN129" i="1" s="1"/>
  <c r="AL130" i="1"/>
  <c r="AN130" i="1" s="1"/>
  <c r="AL131" i="1"/>
  <c r="AN131" i="1" s="1"/>
  <c r="AL132" i="1"/>
  <c r="AN132" i="1" s="1"/>
  <c r="AL133" i="1"/>
  <c r="AN133" i="1" s="1"/>
  <c r="AL134" i="1"/>
  <c r="AN134" i="1" s="1"/>
  <c r="AL135" i="1"/>
  <c r="AN135" i="1" s="1"/>
  <c r="AL136" i="1"/>
  <c r="AN136" i="1" s="1"/>
  <c r="AL137" i="1"/>
  <c r="AN137" i="1" s="1"/>
  <c r="AL138" i="1"/>
  <c r="AN138" i="1" s="1"/>
  <c r="AL139" i="1"/>
  <c r="AN139" i="1" s="1"/>
  <c r="AL140" i="1"/>
  <c r="AN140" i="1" s="1"/>
  <c r="AL141" i="1"/>
  <c r="AN141" i="1" s="1"/>
  <c r="AL142" i="1"/>
  <c r="AN142" i="1" s="1"/>
  <c r="AL143" i="1"/>
  <c r="AN143" i="1" s="1"/>
  <c r="AL144" i="1"/>
  <c r="AN144" i="1" s="1"/>
  <c r="AL145" i="1"/>
  <c r="AN145" i="1" s="1"/>
  <c r="AL146" i="1"/>
  <c r="AN146" i="1" s="1"/>
  <c r="AL147" i="1"/>
  <c r="AN147" i="1" s="1"/>
  <c r="AL148" i="1"/>
  <c r="AN148" i="1" s="1"/>
  <c r="AL149" i="1"/>
  <c r="AN149" i="1" s="1"/>
  <c r="AL150" i="1"/>
  <c r="AN150" i="1" s="1"/>
  <c r="AL151" i="1"/>
  <c r="AN151" i="1" s="1"/>
  <c r="AL152" i="1"/>
  <c r="AN152" i="1" s="1"/>
  <c r="AL153" i="1"/>
  <c r="AN153" i="1" s="1"/>
  <c r="AL154" i="1"/>
  <c r="AM154" i="1" s="1"/>
  <c r="AL155" i="1"/>
  <c r="AM155" i="1" s="1"/>
  <c r="AL156" i="1"/>
  <c r="AM156" i="1" s="1"/>
  <c r="AL157" i="1"/>
  <c r="AM157" i="1" s="1"/>
  <c r="AL158" i="1"/>
  <c r="AM158" i="1" s="1"/>
  <c r="AL159" i="1"/>
  <c r="AN159" i="1" s="1"/>
  <c r="AL160" i="1"/>
  <c r="AN160" i="1" s="1"/>
  <c r="AL161" i="1"/>
  <c r="AN161" i="1" s="1"/>
  <c r="AL162" i="1"/>
  <c r="AN162" i="1" s="1"/>
  <c r="AL163" i="1"/>
  <c r="AN163" i="1" s="1"/>
  <c r="AL164" i="1"/>
  <c r="AN164" i="1" s="1"/>
  <c r="AL165" i="1"/>
  <c r="AN165" i="1" s="1"/>
  <c r="AL166" i="1"/>
  <c r="AN166" i="1" s="1"/>
  <c r="AL167" i="1"/>
  <c r="AN167" i="1" s="1"/>
  <c r="AL168" i="1"/>
  <c r="AN168" i="1" s="1"/>
  <c r="AL169" i="1"/>
  <c r="AN169" i="1" s="1"/>
  <c r="AL170" i="1"/>
  <c r="AN170" i="1" s="1"/>
  <c r="AL171" i="1"/>
  <c r="AN171" i="1" s="1"/>
  <c r="AL172" i="1"/>
  <c r="AN172" i="1" s="1"/>
  <c r="AL173" i="1"/>
  <c r="AN173" i="1" s="1"/>
  <c r="AL174" i="1"/>
  <c r="AN174" i="1" s="1"/>
  <c r="AL175" i="1"/>
  <c r="AN175" i="1" s="1"/>
  <c r="AL176" i="1"/>
  <c r="AN176" i="1" s="1"/>
  <c r="AL177" i="1"/>
  <c r="AN177" i="1" s="1"/>
  <c r="AL178" i="1"/>
  <c r="AN178" i="1" s="1"/>
  <c r="AL179" i="1"/>
  <c r="AN179" i="1" s="1"/>
  <c r="AL180" i="1"/>
  <c r="AN180" i="1" s="1"/>
  <c r="AL181" i="1"/>
  <c r="AN181" i="1" s="1"/>
  <c r="AL182" i="1"/>
  <c r="AN182" i="1" s="1"/>
  <c r="AL183" i="1"/>
  <c r="AN183" i="1" s="1"/>
  <c r="AL184" i="1"/>
  <c r="AN184" i="1" s="1"/>
  <c r="AL185" i="1"/>
  <c r="AN185" i="1" s="1"/>
  <c r="AL186" i="1"/>
  <c r="AN186" i="1" s="1"/>
  <c r="AL187" i="1"/>
  <c r="AN187" i="1" s="1"/>
  <c r="AL188" i="1"/>
  <c r="AN188" i="1" s="1"/>
  <c r="AL189" i="1"/>
  <c r="AN189" i="1" s="1"/>
  <c r="AL190" i="1"/>
  <c r="AN190" i="1" s="1"/>
  <c r="AL191" i="1"/>
  <c r="AN191" i="1" s="1"/>
  <c r="AL192" i="1"/>
  <c r="AN192" i="1" s="1"/>
  <c r="AL193" i="1"/>
  <c r="AN193" i="1" s="1"/>
  <c r="AL194" i="1"/>
  <c r="AN194" i="1" s="1"/>
  <c r="AL195" i="1"/>
  <c r="AN195" i="1" s="1"/>
  <c r="AL196" i="1"/>
  <c r="AN196" i="1" s="1"/>
  <c r="AL197" i="1"/>
  <c r="AN197" i="1" s="1"/>
  <c r="AL198" i="1"/>
  <c r="AN198" i="1" s="1"/>
  <c r="AL199" i="1"/>
  <c r="AN199" i="1" s="1"/>
  <c r="AL200" i="1"/>
  <c r="AN200" i="1" s="1"/>
  <c r="AL201" i="1"/>
  <c r="AN201" i="1" s="1"/>
  <c r="AL202" i="1"/>
  <c r="AN202" i="1" s="1"/>
  <c r="AL203" i="1"/>
  <c r="AN203" i="1" s="1"/>
  <c r="AL204" i="1"/>
  <c r="AN204" i="1" s="1"/>
  <c r="AL205" i="1"/>
  <c r="AN205" i="1" s="1"/>
  <c r="AL206" i="1"/>
  <c r="AN206" i="1" s="1"/>
  <c r="AL207" i="1"/>
  <c r="AN207" i="1" s="1"/>
  <c r="AL208" i="1"/>
  <c r="AN208" i="1" s="1"/>
  <c r="AL209" i="1"/>
  <c r="AN209" i="1" s="1"/>
  <c r="AL210" i="1"/>
  <c r="AN210" i="1" s="1"/>
  <c r="AL211" i="1"/>
  <c r="AN211" i="1" s="1"/>
  <c r="AL212" i="1"/>
  <c r="AN212" i="1" s="1"/>
  <c r="AL213" i="1"/>
  <c r="AN213" i="1" s="1"/>
  <c r="AL214" i="1"/>
  <c r="AN214" i="1" s="1"/>
  <c r="AL215" i="1"/>
  <c r="AN215" i="1" s="1"/>
  <c r="AL216" i="1"/>
  <c r="AN216" i="1" s="1"/>
  <c r="AL217" i="1"/>
  <c r="AN217" i="1" s="1"/>
  <c r="AL218" i="1"/>
  <c r="AN218" i="1" s="1"/>
  <c r="AL219" i="1"/>
  <c r="AN219" i="1" s="1"/>
  <c r="AL220" i="1"/>
  <c r="AN220" i="1" s="1"/>
  <c r="AL221" i="1"/>
  <c r="AN221" i="1" s="1"/>
  <c r="AL222" i="1"/>
  <c r="AN222" i="1" s="1"/>
  <c r="AL223" i="1"/>
  <c r="AN223" i="1" s="1"/>
  <c r="AL224" i="1"/>
  <c r="AN224" i="1" s="1"/>
  <c r="AL225" i="1"/>
  <c r="AN225" i="1" s="1"/>
  <c r="AL226" i="1"/>
  <c r="AN226" i="1" s="1"/>
  <c r="AL227" i="1"/>
  <c r="AN227" i="1" s="1"/>
  <c r="AL228" i="1"/>
  <c r="AN228" i="1" s="1"/>
  <c r="AL229" i="1"/>
  <c r="AN229" i="1" s="1"/>
  <c r="AL230" i="1"/>
  <c r="AN230" i="1" s="1"/>
  <c r="AL231" i="1"/>
  <c r="AN231" i="1" s="1"/>
  <c r="AL232" i="1"/>
  <c r="AN232" i="1" s="1"/>
  <c r="AL233" i="1"/>
  <c r="AN233" i="1" s="1"/>
  <c r="AL234" i="1"/>
  <c r="AN234" i="1" s="1"/>
  <c r="AL235" i="1"/>
  <c r="AN235" i="1" s="1"/>
  <c r="AL236" i="1"/>
  <c r="AN236" i="1" s="1"/>
  <c r="AL237" i="1"/>
  <c r="AN237" i="1" s="1"/>
  <c r="AL238" i="1"/>
  <c r="AN238" i="1" s="1"/>
  <c r="AL239" i="1"/>
  <c r="AN239" i="1" s="1"/>
  <c r="AL240" i="1"/>
  <c r="AN240" i="1" s="1"/>
  <c r="AL241" i="1"/>
  <c r="AN241" i="1" s="1"/>
  <c r="AL242" i="1"/>
  <c r="AN242" i="1" s="1"/>
  <c r="AL243" i="1"/>
  <c r="AM243" i="1" s="1"/>
  <c r="AL244" i="1"/>
  <c r="AM244" i="1" s="1"/>
  <c r="AL245" i="1"/>
  <c r="AN245" i="1" s="1"/>
  <c r="AL246" i="1"/>
  <c r="AN246" i="1" s="1"/>
  <c r="AL247" i="1"/>
  <c r="AN247" i="1" s="1"/>
  <c r="AL248" i="1"/>
  <c r="AN248" i="1" s="1"/>
  <c r="AL249" i="1"/>
  <c r="AN249" i="1" s="1"/>
  <c r="AL250" i="1"/>
  <c r="AN250" i="1" s="1"/>
  <c r="AL251" i="1"/>
  <c r="AN251" i="1" s="1"/>
  <c r="AL252" i="1"/>
  <c r="AN252" i="1" s="1"/>
  <c r="AL253" i="1"/>
  <c r="AN253" i="1" s="1"/>
  <c r="AL254" i="1"/>
  <c r="AN254" i="1" s="1"/>
  <c r="AL255" i="1"/>
  <c r="AN255" i="1" s="1"/>
  <c r="AL256" i="1"/>
  <c r="AN256" i="1" s="1"/>
  <c r="AL257" i="1"/>
  <c r="AN257" i="1" s="1"/>
  <c r="AL258" i="1"/>
  <c r="AN258" i="1" s="1"/>
  <c r="AL259" i="1"/>
  <c r="AN259" i="1" s="1"/>
  <c r="AL260" i="1"/>
  <c r="AN260" i="1" s="1"/>
  <c r="AL261" i="1"/>
  <c r="AN261" i="1" s="1"/>
  <c r="AL262" i="1"/>
  <c r="AN262" i="1" s="1"/>
  <c r="AL263" i="1"/>
  <c r="AN263" i="1" s="1"/>
  <c r="AL264" i="1"/>
  <c r="AN264" i="1" s="1"/>
  <c r="AL265" i="1"/>
  <c r="AN265" i="1" s="1"/>
  <c r="AL266" i="1"/>
  <c r="AN266" i="1" s="1"/>
  <c r="AL267" i="1"/>
  <c r="AN267" i="1" s="1"/>
  <c r="AL268" i="1"/>
  <c r="AN268" i="1" s="1"/>
  <c r="AL269" i="1"/>
  <c r="AN269" i="1" s="1"/>
  <c r="AL270" i="1"/>
  <c r="AN270" i="1" s="1"/>
  <c r="AL271" i="1"/>
  <c r="AN271" i="1" s="1"/>
  <c r="AL272" i="1"/>
  <c r="AN272" i="1" s="1"/>
  <c r="AL273" i="1"/>
  <c r="AN273" i="1" s="1"/>
  <c r="AL274" i="1"/>
  <c r="AN274" i="1" s="1"/>
  <c r="AL275" i="1"/>
  <c r="AN275" i="1" s="1"/>
  <c r="AL276" i="1"/>
  <c r="AN276" i="1" s="1"/>
  <c r="AL277" i="1"/>
  <c r="AN277" i="1" s="1"/>
  <c r="AL278" i="1"/>
  <c r="AN278" i="1" s="1"/>
  <c r="AL279" i="1"/>
  <c r="AN279" i="1" s="1"/>
  <c r="AL280" i="1"/>
  <c r="AN280" i="1" s="1"/>
  <c r="AL281" i="1"/>
  <c r="AN281" i="1" s="1"/>
  <c r="AL282" i="1"/>
  <c r="AN282" i="1" s="1"/>
  <c r="AL283" i="1"/>
  <c r="AN283" i="1" s="1"/>
  <c r="AL284" i="1"/>
  <c r="AN284" i="1" s="1"/>
  <c r="AL285" i="1"/>
  <c r="AN285" i="1" s="1"/>
  <c r="AL286" i="1"/>
  <c r="AN286" i="1" s="1"/>
  <c r="AL287" i="1"/>
  <c r="AN287" i="1" s="1"/>
  <c r="AL288" i="1"/>
  <c r="AN288" i="1" s="1"/>
  <c r="AL289" i="1"/>
  <c r="AN289" i="1" s="1"/>
  <c r="AN41" i="1" l="1"/>
  <c r="AN82" i="1"/>
  <c r="AM82" i="1"/>
  <c r="AN89" i="1"/>
  <c r="AN25" i="1"/>
  <c r="AN81" i="1"/>
  <c r="AN154" i="1"/>
  <c r="AN90" i="1"/>
  <c r="AN50" i="1"/>
  <c r="AN42" i="1"/>
  <c r="AN26" i="1"/>
  <c r="AM86" i="1"/>
  <c r="AM78" i="1"/>
  <c r="AN88" i="1"/>
  <c r="AN80" i="1"/>
  <c r="AN56" i="1"/>
  <c r="AN24" i="1"/>
  <c r="AM54" i="1"/>
  <c r="AN87" i="1"/>
  <c r="AN79" i="1"/>
  <c r="AN55" i="1"/>
  <c r="AN39" i="1"/>
  <c r="AN158" i="1"/>
  <c r="AN38" i="1"/>
  <c r="AN157" i="1"/>
  <c r="AN85" i="1"/>
  <c r="AN77" i="1"/>
  <c r="AN53" i="1"/>
  <c r="AN45" i="1"/>
  <c r="AN244" i="1"/>
  <c r="AN156" i="1"/>
  <c r="AN84" i="1"/>
  <c r="AN76" i="1"/>
  <c r="AN52" i="1"/>
  <c r="AN44" i="1"/>
  <c r="AN243" i="1"/>
  <c r="AN155" i="1"/>
  <c r="AN83" i="1"/>
  <c r="AN75" i="1"/>
  <c r="AN51" i="1"/>
  <c r="AN43" i="1"/>
  <c r="AN27" i="1"/>
  <c r="S245" i="1"/>
  <c r="AM245" i="1" s="1"/>
  <c r="S159" i="1"/>
  <c r="AM159" i="1" s="1"/>
  <c r="S28" i="1"/>
  <c r="AF28" i="1" s="1"/>
  <c r="AG28" i="1" s="1"/>
  <c r="S91" i="1"/>
  <c r="AM91" i="1" s="1"/>
  <c r="AB289" i="1"/>
  <c r="S289" i="1"/>
  <c r="AF289" i="1" s="1"/>
  <c r="AG289" i="1" s="1"/>
  <c r="J289" i="1"/>
  <c r="AH289" i="1" s="1"/>
  <c r="AK289" i="1" s="1"/>
  <c r="AO289" i="1" s="1"/>
  <c r="AB288" i="1"/>
  <c r="S288" i="1"/>
  <c r="AF288" i="1" s="1"/>
  <c r="AG288" i="1" s="1"/>
  <c r="J288" i="1"/>
  <c r="AH288" i="1" s="1"/>
  <c r="AB287" i="1"/>
  <c r="S287" i="1"/>
  <c r="AF287" i="1" s="1"/>
  <c r="AG287" i="1" s="1"/>
  <c r="J287" i="1"/>
  <c r="AH287" i="1" s="1"/>
  <c r="AB286" i="1"/>
  <c r="S286" i="1"/>
  <c r="J286" i="1"/>
  <c r="AH286" i="1" s="1"/>
  <c r="AB285" i="1"/>
  <c r="S285" i="1"/>
  <c r="AF285" i="1" s="1"/>
  <c r="AG285" i="1" s="1"/>
  <c r="J285" i="1"/>
  <c r="AH285" i="1" s="1"/>
  <c r="AK285" i="1" s="1"/>
  <c r="AO285" i="1" s="1"/>
  <c r="AB284" i="1"/>
  <c r="S284" i="1"/>
  <c r="AF284" i="1" s="1"/>
  <c r="AG284" i="1" s="1"/>
  <c r="J284" i="1"/>
  <c r="AH284" i="1" s="1"/>
  <c r="AK284" i="1" s="1"/>
  <c r="AO284" i="1" s="1"/>
  <c r="AB283" i="1"/>
  <c r="S283" i="1"/>
  <c r="AF283" i="1" s="1"/>
  <c r="AG283" i="1" s="1"/>
  <c r="J283" i="1"/>
  <c r="AH283" i="1" s="1"/>
  <c r="AK283" i="1" s="1"/>
  <c r="AO283" i="1" s="1"/>
  <c r="AB282" i="1"/>
  <c r="S282" i="1"/>
  <c r="J282" i="1"/>
  <c r="AH282" i="1" s="1"/>
  <c r="AK282" i="1" s="1"/>
  <c r="AO282" i="1" s="1"/>
  <c r="AB281" i="1"/>
  <c r="S281" i="1"/>
  <c r="AF281" i="1" s="1"/>
  <c r="AG281" i="1" s="1"/>
  <c r="J281" i="1"/>
  <c r="AH281" i="1" s="1"/>
  <c r="AK281" i="1" s="1"/>
  <c r="AO281" i="1" s="1"/>
  <c r="AB280" i="1"/>
  <c r="S280" i="1"/>
  <c r="AF280" i="1" s="1"/>
  <c r="AG280" i="1" s="1"/>
  <c r="J280" i="1"/>
  <c r="AH280" i="1" s="1"/>
  <c r="AK280" i="1" s="1"/>
  <c r="AO280" i="1" s="1"/>
  <c r="AB279" i="1"/>
  <c r="S279" i="1"/>
  <c r="AF279" i="1" s="1"/>
  <c r="AG279" i="1" s="1"/>
  <c r="J279" i="1"/>
  <c r="AH279" i="1" s="1"/>
  <c r="AK279" i="1" s="1"/>
  <c r="AO279" i="1" s="1"/>
  <c r="AB278" i="1"/>
  <c r="S278" i="1"/>
  <c r="J278" i="1"/>
  <c r="AH278" i="1" s="1"/>
  <c r="AB277" i="1"/>
  <c r="S277" i="1"/>
  <c r="AF277" i="1" s="1"/>
  <c r="AG277" i="1" s="1"/>
  <c r="J277" i="1"/>
  <c r="AH277" i="1" s="1"/>
  <c r="AB276" i="1"/>
  <c r="S276" i="1"/>
  <c r="AF276" i="1" s="1"/>
  <c r="AG276" i="1" s="1"/>
  <c r="J276" i="1"/>
  <c r="AH276" i="1" s="1"/>
  <c r="AK276" i="1" s="1"/>
  <c r="AO276" i="1" s="1"/>
  <c r="AB275" i="1"/>
  <c r="S275" i="1"/>
  <c r="AF275" i="1" s="1"/>
  <c r="AG275" i="1" s="1"/>
  <c r="J275" i="1"/>
  <c r="AH275" i="1" s="1"/>
  <c r="AK275" i="1" s="1"/>
  <c r="AO275" i="1" s="1"/>
  <c r="AB274" i="1"/>
  <c r="S274" i="1"/>
  <c r="J274" i="1"/>
  <c r="AH274" i="1" s="1"/>
  <c r="AK274" i="1" s="1"/>
  <c r="AO274" i="1" s="1"/>
  <c r="AB273" i="1"/>
  <c r="S273" i="1"/>
  <c r="AF273" i="1" s="1"/>
  <c r="AG273" i="1" s="1"/>
  <c r="J273" i="1"/>
  <c r="AH273" i="1" s="1"/>
  <c r="AK273" i="1" s="1"/>
  <c r="AO273" i="1" s="1"/>
  <c r="AB272" i="1"/>
  <c r="S272" i="1"/>
  <c r="AF272" i="1" s="1"/>
  <c r="AG272" i="1" s="1"/>
  <c r="J272" i="1"/>
  <c r="AH272" i="1" s="1"/>
  <c r="AK272" i="1" s="1"/>
  <c r="AO272" i="1" s="1"/>
  <c r="AB271" i="1"/>
  <c r="S271" i="1"/>
  <c r="AF271" i="1" s="1"/>
  <c r="AG271" i="1" s="1"/>
  <c r="J271" i="1"/>
  <c r="AH271" i="1" s="1"/>
  <c r="AK271" i="1" s="1"/>
  <c r="AO271" i="1" s="1"/>
  <c r="AB270" i="1"/>
  <c r="S270" i="1"/>
  <c r="J270" i="1"/>
  <c r="AH270" i="1" s="1"/>
  <c r="AB269" i="1"/>
  <c r="S269" i="1"/>
  <c r="AF269" i="1" s="1"/>
  <c r="AG269" i="1" s="1"/>
  <c r="J269" i="1"/>
  <c r="AH269" i="1" s="1"/>
  <c r="AB268" i="1"/>
  <c r="S268" i="1"/>
  <c r="AF268" i="1" s="1"/>
  <c r="AG268" i="1" s="1"/>
  <c r="J268" i="1"/>
  <c r="AH268" i="1" s="1"/>
  <c r="AK268" i="1" s="1"/>
  <c r="AO268" i="1" s="1"/>
  <c r="AB267" i="1"/>
  <c r="S267" i="1"/>
  <c r="AF267" i="1" s="1"/>
  <c r="AG267" i="1" s="1"/>
  <c r="J267" i="1"/>
  <c r="AH267" i="1" s="1"/>
  <c r="AK267" i="1" s="1"/>
  <c r="AO267" i="1" s="1"/>
  <c r="AB266" i="1"/>
  <c r="S266" i="1"/>
  <c r="J266" i="1"/>
  <c r="AH266" i="1" s="1"/>
  <c r="AK266" i="1" s="1"/>
  <c r="AO266" i="1" s="1"/>
  <c r="AB265" i="1"/>
  <c r="S265" i="1"/>
  <c r="AF265" i="1" s="1"/>
  <c r="AG265" i="1" s="1"/>
  <c r="J265" i="1"/>
  <c r="AH265" i="1" s="1"/>
  <c r="AK265" i="1" s="1"/>
  <c r="AO265" i="1" s="1"/>
  <c r="AB264" i="1"/>
  <c r="S264" i="1"/>
  <c r="AF264" i="1" s="1"/>
  <c r="AG264" i="1" s="1"/>
  <c r="J264" i="1"/>
  <c r="AH264" i="1" s="1"/>
  <c r="AK264" i="1" s="1"/>
  <c r="AO264" i="1" s="1"/>
  <c r="AB263" i="1"/>
  <c r="S263" i="1"/>
  <c r="AF263" i="1" s="1"/>
  <c r="AG263" i="1" s="1"/>
  <c r="J263" i="1"/>
  <c r="AH263" i="1" s="1"/>
  <c r="AK263" i="1" s="1"/>
  <c r="AO263" i="1" s="1"/>
  <c r="AB262" i="1"/>
  <c r="S262" i="1"/>
  <c r="J262" i="1"/>
  <c r="AH262" i="1" s="1"/>
  <c r="AB261" i="1"/>
  <c r="S261" i="1"/>
  <c r="AF261" i="1" s="1"/>
  <c r="AG261" i="1" s="1"/>
  <c r="J261" i="1"/>
  <c r="AH261" i="1" s="1"/>
  <c r="AB260" i="1"/>
  <c r="S260" i="1"/>
  <c r="AF260" i="1" s="1"/>
  <c r="AG260" i="1" s="1"/>
  <c r="J260" i="1"/>
  <c r="AH260" i="1" s="1"/>
  <c r="AK260" i="1" s="1"/>
  <c r="AO260" i="1" s="1"/>
  <c r="AB259" i="1"/>
  <c r="S259" i="1"/>
  <c r="AF259" i="1" s="1"/>
  <c r="AG259" i="1" s="1"/>
  <c r="J259" i="1"/>
  <c r="AH259" i="1" s="1"/>
  <c r="AK259" i="1" s="1"/>
  <c r="AO259" i="1" s="1"/>
  <c r="AB258" i="1"/>
  <c r="S258" i="1"/>
  <c r="J258" i="1"/>
  <c r="AH258" i="1" s="1"/>
  <c r="AK258" i="1" s="1"/>
  <c r="AO258" i="1" s="1"/>
  <c r="AB257" i="1"/>
  <c r="S257" i="1"/>
  <c r="AF257" i="1" s="1"/>
  <c r="AG257" i="1" s="1"/>
  <c r="J257" i="1"/>
  <c r="AH257" i="1" s="1"/>
  <c r="AK257" i="1" s="1"/>
  <c r="AO257" i="1" s="1"/>
  <c r="AB256" i="1"/>
  <c r="S256" i="1"/>
  <c r="AF256" i="1" s="1"/>
  <c r="AG256" i="1" s="1"/>
  <c r="J256" i="1"/>
  <c r="AH256" i="1" s="1"/>
  <c r="AK256" i="1" s="1"/>
  <c r="AO256" i="1" s="1"/>
  <c r="AB255" i="1"/>
  <c r="S255" i="1"/>
  <c r="AF255" i="1" s="1"/>
  <c r="AG255" i="1" s="1"/>
  <c r="J255" i="1"/>
  <c r="AH255" i="1" s="1"/>
  <c r="AK255" i="1" s="1"/>
  <c r="AO255" i="1" s="1"/>
  <c r="AB254" i="1"/>
  <c r="S254" i="1"/>
  <c r="J254" i="1"/>
  <c r="AH254" i="1" s="1"/>
  <c r="AB253" i="1"/>
  <c r="S253" i="1"/>
  <c r="AF253" i="1" s="1"/>
  <c r="AG253" i="1" s="1"/>
  <c r="J253" i="1"/>
  <c r="AH253" i="1" s="1"/>
  <c r="AB252" i="1"/>
  <c r="S252" i="1"/>
  <c r="AF252" i="1" s="1"/>
  <c r="AG252" i="1" s="1"/>
  <c r="J252" i="1"/>
  <c r="AH252" i="1" s="1"/>
  <c r="AK252" i="1" s="1"/>
  <c r="AO252" i="1" s="1"/>
  <c r="AB251" i="1"/>
  <c r="S251" i="1"/>
  <c r="AF251" i="1" s="1"/>
  <c r="AG251" i="1" s="1"/>
  <c r="J251" i="1"/>
  <c r="AH251" i="1" s="1"/>
  <c r="AK251" i="1" s="1"/>
  <c r="AO251" i="1" s="1"/>
  <c r="AB250" i="1"/>
  <c r="S250" i="1"/>
  <c r="J250" i="1"/>
  <c r="AH250" i="1" s="1"/>
  <c r="AK250" i="1" s="1"/>
  <c r="AO250" i="1" s="1"/>
  <c r="AB249" i="1"/>
  <c r="S249" i="1"/>
  <c r="AF249" i="1" s="1"/>
  <c r="AG249" i="1" s="1"/>
  <c r="J249" i="1"/>
  <c r="AH249" i="1" s="1"/>
  <c r="AK249" i="1" s="1"/>
  <c r="AO249" i="1" s="1"/>
  <c r="AB248" i="1"/>
  <c r="S248" i="1"/>
  <c r="AF248" i="1" s="1"/>
  <c r="AG248" i="1" s="1"/>
  <c r="J248" i="1"/>
  <c r="AH248" i="1" s="1"/>
  <c r="AK248" i="1" s="1"/>
  <c r="AO248" i="1" s="1"/>
  <c r="AB247" i="1"/>
  <c r="S247" i="1"/>
  <c r="AF247" i="1" s="1"/>
  <c r="AG247" i="1" s="1"/>
  <c r="J247" i="1"/>
  <c r="AH247" i="1" s="1"/>
  <c r="AK247" i="1" s="1"/>
  <c r="AO247" i="1" s="1"/>
  <c r="AB246" i="1"/>
  <c r="S246" i="1"/>
  <c r="J246" i="1"/>
  <c r="AH246" i="1" s="1"/>
  <c r="AB245" i="1"/>
  <c r="AF245" i="1"/>
  <c r="AG245" i="1" s="1"/>
  <c r="J245" i="1"/>
  <c r="AH245" i="1" s="1"/>
  <c r="AB244" i="1"/>
  <c r="AF244" i="1"/>
  <c r="AG244" i="1" s="1"/>
  <c r="J244" i="1"/>
  <c r="AH244" i="1" s="1"/>
  <c r="AB243" i="1"/>
  <c r="AF243" i="1"/>
  <c r="AG243" i="1" s="1"/>
  <c r="J243" i="1"/>
  <c r="AH243" i="1" s="1"/>
  <c r="AB242" i="1"/>
  <c r="S242" i="1"/>
  <c r="J242" i="1"/>
  <c r="AH242" i="1" s="1"/>
  <c r="AK242" i="1" s="1"/>
  <c r="AO242" i="1" s="1"/>
  <c r="AB241" i="1"/>
  <c r="S241" i="1"/>
  <c r="AF241" i="1" s="1"/>
  <c r="AG241" i="1" s="1"/>
  <c r="J241" i="1"/>
  <c r="AH241" i="1" s="1"/>
  <c r="AK241" i="1" s="1"/>
  <c r="AO241" i="1" s="1"/>
  <c r="AB240" i="1"/>
  <c r="S240" i="1"/>
  <c r="AF240" i="1" s="1"/>
  <c r="AG240" i="1" s="1"/>
  <c r="J240" i="1"/>
  <c r="AH240" i="1" s="1"/>
  <c r="AK240" i="1" s="1"/>
  <c r="AO240" i="1" s="1"/>
  <c r="AB239" i="1"/>
  <c r="S239" i="1"/>
  <c r="AF239" i="1" s="1"/>
  <c r="AG239" i="1" s="1"/>
  <c r="J239" i="1"/>
  <c r="AH239" i="1" s="1"/>
  <c r="AK239" i="1" s="1"/>
  <c r="AO239" i="1" s="1"/>
  <c r="AB238" i="1"/>
  <c r="S238" i="1"/>
  <c r="J238" i="1"/>
  <c r="AH238" i="1" s="1"/>
  <c r="AB237" i="1"/>
  <c r="S237" i="1"/>
  <c r="AF237" i="1" s="1"/>
  <c r="AG237" i="1" s="1"/>
  <c r="J237" i="1"/>
  <c r="AH237" i="1" s="1"/>
  <c r="AB236" i="1"/>
  <c r="S236" i="1"/>
  <c r="AF236" i="1" s="1"/>
  <c r="AG236" i="1" s="1"/>
  <c r="J236" i="1"/>
  <c r="AH236" i="1" s="1"/>
  <c r="AK236" i="1" s="1"/>
  <c r="AO236" i="1" s="1"/>
  <c r="AB235" i="1"/>
  <c r="S235" i="1"/>
  <c r="AF235" i="1" s="1"/>
  <c r="AG235" i="1" s="1"/>
  <c r="J235" i="1"/>
  <c r="AH235" i="1" s="1"/>
  <c r="AK235" i="1" s="1"/>
  <c r="AO235" i="1" s="1"/>
  <c r="AB234" i="1"/>
  <c r="S234" i="1"/>
  <c r="J234" i="1"/>
  <c r="AH234" i="1" s="1"/>
  <c r="AK234" i="1" s="1"/>
  <c r="AO234" i="1" s="1"/>
  <c r="AB233" i="1"/>
  <c r="S233" i="1"/>
  <c r="AF233" i="1" s="1"/>
  <c r="AG233" i="1" s="1"/>
  <c r="J233" i="1"/>
  <c r="AH233" i="1" s="1"/>
  <c r="AK233" i="1" s="1"/>
  <c r="AO233" i="1" s="1"/>
  <c r="AB232" i="1"/>
  <c r="S232" i="1"/>
  <c r="AF232" i="1" s="1"/>
  <c r="AG232" i="1" s="1"/>
  <c r="J232" i="1"/>
  <c r="AH232" i="1" s="1"/>
  <c r="AK232" i="1" s="1"/>
  <c r="AO232" i="1" s="1"/>
  <c r="AB231" i="1"/>
  <c r="S231" i="1"/>
  <c r="AF231" i="1" s="1"/>
  <c r="AG231" i="1" s="1"/>
  <c r="J231" i="1"/>
  <c r="AH231" i="1" s="1"/>
  <c r="AK231" i="1" s="1"/>
  <c r="AO231" i="1" s="1"/>
  <c r="AB230" i="1"/>
  <c r="S230" i="1"/>
  <c r="J230" i="1"/>
  <c r="AH230" i="1" s="1"/>
  <c r="AB229" i="1"/>
  <c r="S229" i="1"/>
  <c r="AF229" i="1" s="1"/>
  <c r="AG229" i="1" s="1"/>
  <c r="J229" i="1"/>
  <c r="AH229" i="1" s="1"/>
  <c r="AB228" i="1"/>
  <c r="S228" i="1"/>
  <c r="AF228" i="1" s="1"/>
  <c r="AG228" i="1" s="1"/>
  <c r="J228" i="1"/>
  <c r="AH228" i="1" s="1"/>
  <c r="AK228" i="1" s="1"/>
  <c r="AO228" i="1" s="1"/>
  <c r="AB227" i="1"/>
  <c r="S227" i="1"/>
  <c r="AF227" i="1" s="1"/>
  <c r="AG227" i="1" s="1"/>
  <c r="J227" i="1"/>
  <c r="AH227" i="1" s="1"/>
  <c r="AK227" i="1" s="1"/>
  <c r="AO227" i="1" s="1"/>
  <c r="AB226" i="1"/>
  <c r="S226" i="1"/>
  <c r="J226" i="1"/>
  <c r="AH226" i="1" s="1"/>
  <c r="AK226" i="1" s="1"/>
  <c r="AO226" i="1" s="1"/>
  <c r="AB225" i="1"/>
  <c r="S225" i="1"/>
  <c r="AF225" i="1" s="1"/>
  <c r="AG225" i="1" s="1"/>
  <c r="J225" i="1"/>
  <c r="AH225" i="1" s="1"/>
  <c r="AK225" i="1" s="1"/>
  <c r="AO225" i="1" s="1"/>
  <c r="AB224" i="1"/>
  <c r="S224" i="1"/>
  <c r="AF224" i="1" s="1"/>
  <c r="AG224" i="1" s="1"/>
  <c r="J224" i="1"/>
  <c r="AH224" i="1" s="1"/>
  <c r="AK224" i="1" s="1"/>
  <c r="AO224" i="1" s="1"/>
  <c r="AB223" i="1"/>
  <c r="S223" i="1"/>
  <c r="AF223" i="1" s="1"/>
  <c r="AG223" i="1" s="1"/>
  <c r="J223" i="1"/>
  <c r="AH223" i="1" s="1"/>
  <c r="AK223" i="1" s="1"/>
  <c r="AO223" i="1" s="1"/>
  <c r="AB222" i="1"/>
  <c r="S222" i="1"/>
  <c r="J222" i="1"/>
  <c r="AH222" i="1" s="1"/>
  <c r="AB221" i="1"/>
  <c r="S221" i="1"/>
  <c r="AF221" i="1" s="1"/>
  <c r="AG221" i="1" s="1"/>
  <c r="J221" i="1"/>
  <c r="AH221" i="1" s="1"/>
  <c r="AB220" i="1"/>
  <c r="S220" i="1"/>
  <c r="AF220" i="1" s="1"/>
  <c r="AG220" i="1" s="1"/>
  <c r="J220" i="1"/>
  <c r="AH220" i="1" s="1"/>
  <c r="AK220" i="1" s="1"/>
  <c r="AO220" i="1" s="1"/>
  <c r="AB219" i="1"/>
  <c r="S219" i="1"/>
  <c r="AF219" i="1" s="1"/>
  <c r="AG219" i="1" s="1"/>
  <c r="J219" i="1"/>
  <c r="AH219" i="1" s="1"/>
  <c r="AK219" i="1" s="1"/>
  <c r="AO219" i="1" s="1"/>
  <c r="AB218" i="1"/>
  <c r="S218" i="1"/>
  <c r="J218" i="1"/>
  <c r="AH218" i="1" s="1"/>
  <c r="AK218" i="1" s="1"/>
  <c r="AO218" i="1" s="1"/>
  <c r="AB217" i="1"/>
  <c r="S217" i="1"/>
  <c r="AF217" i="1" s="1"/>
  <c r="AG217" i="1" s="1"/>
  <c r="J217" i="1"/>
  <c r="AH217" i="1" s="1"/>
  <c r="AK217" i="1" s="1"/>
  <c r="AO217" i="1" s="1"/>
  <c r="AB216" i="1"/>
  <c r="S216" i="1"/>
  <c r="AF216" i="1" s="1"/>
  <c r="AG216" i="1" s="1"/>
  <c r="J216" i="1"/>
  <c r="AH216" i="1" s="1"/>
  <c r="AK216" i="1" s="1"/>
  <c r="AO216" i="1" s="1"/>
  <c r="AB215" i="1"/>
  <c r="S215" i="1"/>
  <c r="AF215" i="1" s="1"/>
  <c r="AG215" i="1" s="1"/>
  <c r="J215" i="1"/>
  <c r="AH215" i="1" s="1"/>
  <c r="AK215" i="1" s="1"/>
  <c r="AO215" i="1" s="1"/>
  <c r="AB214" i="1"/>
  <c r="S214" i="1"/>
  <c r="J214" i="1"/>
  <c r="AH214" i="1" s="1"/>
  <c r="AB213" i="1"/>
  <c r="S213" i="1"/>
  <c r="AF213" i="1" s="1"/>
  <c r="AG213" i="1" s="1"/>
  <c r="J213" i="1"/>
  <c r="AH213" i="1" s="1"/>
  <c r="AB212" i="1"/>
  <c r="S212" i="1"/>
  <c r="AF212" i="1" s="1"/>
  <c r="AG212" i="1" s="1"/>
  <c r="J212" i="1"/>
  <c r="AH212" i="1" s="1"/>
  <c r="AK212" i="1" s="1"/>
  <c r="AO212" i="1" s="1"/>
  <c r="AB211" i="1"/>
  <c r="S211" i="1"/>
  <c r="AF211" i="1" s="1"/>
  <c r="AG211" i="1" s="1"/>
  <c r="J211" i="1"/>
  <c r="AH211" i="1" s="1"/>
  <c r="AK211" i="1" s="1"/>
  <c r="AO211" i="1" s="1"/>
  <c r="AB210" i="1"/>
  <c r="S210" i="1"/>
  <c r="J210" i="1"/>
  <c r="AH210" i="1" s="1"/>
  <c r="AK210" i="1" s="1"/>
  <c r="AO210" i="1" s="1"/>
  <c r="AB209" i="1"/>
  <c r="S209" i="1"/>
  <c r="AF209" i="1" s="1"/>
  <c r="AG209" i="1" s="1"/>
  <c r="J209" i="1"/>
  <c r="AH209" i="1" s="1"/>
  <c r="AK209" i="1" s="1"/>
  <c r="AO209" i="1" s="1"/>
  <c r="AB208" i="1"/>
  <c r="S208" i="1"/>
  <c r="AF208" i="1" s="1"/>
  <c r="AG208" i="1" s="1"/>
  <c r="J208" i="1"/>
  <c r="AH208" i="1" s="1"/>
  <c r="AK208" i="1" s="1"/>
  <c r="AO208" i="1" s="1"/>
  <c r="AB207" i="1"/>
  <c r="S207" i="1"/>
  <c r="AF207" i="1" s="1"/>
  <c r="AG207" i="1" s="1"/>
  <c r="J207" i="1"/>
  <c r="AH207" i="1" s="1"/>
  <c r="AK207" i="1" s="1"/>
  <c r="AO207" i="1" s="1"/>
  <c r="AB206" i="1"/>
  <c r="S206" i="1"/>
  <c r="J206" i="1"/>
  <c r="AH206" i="1" s="1"/>
  <c r="AB205" i="1"/>
  <c r="S205" i="1"/>
  <c r="AF205" i="1" s="1"/>
  <c r="AG205" i="1" s="1"/>
  <c r="J205" i="1"/>
  <c r="AH205" i="1" s="1"/>
  <c r="AB204" i="1"/>
  <c r="S204" i="1"/>
  <c r="AF204" i="1" s="1"/>
  <c r="AG204" i="1" s="1"/>
  <c r="J204" i="1"/>
  <c r="AH204" i="1" s="1"/>
  <c r="AK204" i="1" s="1"/>
  <c r="AO204" i="1" s="1"/>
  <c r="AB203" i="1"/>
  <c r="S203" i="1"/>
  <c r="AF203" i="1" s="1"/>
  <c r="AG203" i="1" s="1"/>
  <c r="J203" i="1"/>
  <c r="AH203" i="1" s="1"/>
  <c r="AK203" i="1" s="1"/>
  <c r="AO203" i="1" s="1"/>
  <c r="AB202" i="1"/>
  <c r="S202" i="1"/>
  <c r="J202" i="1"/>
  <c r="AH202" i="1" s="1"/>
  <c r="AK202" i="1" s="1"/>
  <c r="AO202" i="1" s="1"/>
  <c r="AB201" i="1"/>
  <c r="S201" i="1"/>
  <c r="AF201" i="1" s="1"/>
  <c r="AG201" i="1" s="1"/>
  <c r="J201" i="1"/>
  <c r="AH201" i="1" s="1"/>
  <c r="AK201" i="1" s="1"/>
  <c r="AO201" i="1" s="1"/>
  <c r="AB200" i="1"/>
  <c r="S200" i="1"/>
  <c r="AF200" i="1" s="1"/>
  <c r="AG200" i="1" s="1"/>
  <c r="J200" i="1"/>
  <c r="AH200" i="1" s="1"/>
  <c r="AK200" i="1" s="1"/>
  <c r="AO200" i="1" s="1"/>
  <c r="AB199" i="1"/>
  <c r="S199" i="1"/>
  <c r="AF199" i="1" s="1"/>
  <c r="AG199" i="1" s="1"/>
  <c r="J199" i="1"/>
  <c r="AH199" i="1" s="1"/>
  <c r="AK199" i="1" s="1"/>
  <c r="AO199" i="1" s="1"/>
  <c r="AB198" i="1"/>
  <c r="S198" i="1"/>
  <c r="J198" i="1"/>
  <c r="AH198" i="1" s="1"/>
  <c r="AB197" i="1"/>
  <c r="S197" i="1"/>
  <c r="AF197" i="1" s="1"/>
  <c r="AG197" i="1" s="1"/>
  <c r="J197" i="1"/>
  <c r="AH197" i="1" s="1"/>
  <c r="AB196" i="1"/>
  <c r="S196" i="1"/>
  <c r="AF196" i="1" s="1"/>
  <c r="AG196" i="1" s="1"/>
  <c r="J196" i="1"/>
  <c r="AH196" i="1" s="1"/>
  <c r="AK196" i="1" s="1"/>
  <c r="AO196" i="1" s="1"/>
  <c r="AB195" i="1"/>
  <c r="S195" i="1"/>
  <c r="AF195" i="1" s="1"/>
  <c r="AG195" i="1" s="1"/>
  <c r="J195" i="1"/>
  <c r="AH195" i="1" s="1"/>
  <c r="AK195" i="1" s="1"/>
  <c r="AO195" i="1" s="1"/>
  <c r="AB194" i="1"/>
  <c r="S194" i="1"/>
  <c r="J194" i="1"/>
  <c r="AH194" i="1" s="1"/>
  <c r="AK194" i="1" s="1"/>
  <c r="AO194" i="1" s="1"/>
  <c r="AB193" i="1"/>
  <c r="S193" i="1"/>
  <c r="AF193" i="1" s="1"/>
  <c r="AG193" i="1" s="1"/>
  <c r="J193" i="1"/>
  <c r="AH193" i="1" s="1"/>
  <c r="AK193" i="1" s="1"/>
  <c r="AO193" i="1" s="1"/>
  <c r="AB192" i="1"/>
  <c r="S192" i="1"/>
  <c r="AF192" i="1" s="1"/>
  <c r="AG192" i="1" s="1"/>
  <c r="J192" i="1"/>
  <c r="AH192" i="1" s="1"/>
  <c r="AK192" i="1" s="1"/>
  <c r="AO192" i="1" s="1"/>
  <c r="AB191" i="1"/>
  <c r="S191" i="1"/>
  <c r="AF191" i="1" s="1"/>
  <c r="AG191" i="1" s="1"/>
  <c r="J191" i="1"/>
  <c r="AH191" i="1" s="1"/>
  <c r="AK191" i="1" s="1"/>
  <c r="AO191" i="1" s="1"/>
  <c r="AB190" i="1"/>
  <c r="S190" i="1"/>
  <c r="J190" i="1"/>
  <c r="AH190" i="1" s="1"/>
  <c r="AB189" i="1"/>
  <c r="S189" i="1"/>
  <c r="AF189" i="1" s="1"/>
  <c r="AG189" i="1" s="1"/>
  <c r="J189" i="1"/>
  <c r="AH189" i="1" s="1"/>
  <c r="AB188" i="1"/>
  <c r="S188" i="1"/>
  <c r="AF188" i="1" s="1"/>
  <c r="AG188" i="1" s="1"/>
  <c r="J188" i="1"/>
  <c r="AH188" i="1" s="1"/>
  <c r="AK188" i="1" s="1"/>
  <c r="AO188" i="1" s="1"/>
  <c r="AB187" i="1"/>
  <c r="S187" i="1"/>
  <c r="AF187" i="1" s="1"/>
  <c r="AG187" i="1" s="1"/>
  <c r="J187" i="1"/>
  <c r="AH187" i="1" s="1"/>
  <c r="AK187" i="1" s="1"/>
  <c r="AO187" i="1" s="1"/>
  <c r="AB186" i="1"/>
  <c r="S186" i="1"/>
  <c r="J186" i="1"/>
  <c r="AH186" i="1" s="1"/>
  <c r="AK186" i="1" s="1"/>
  <c r="AO186" i="1" s="1"/>
  <c r="AB185" i="1"/>
  <c r="S185" i="1"/>
  <c r="AF185" i="1" s="1"/>
  <c r="AG185" i="1" s="1"/>
  <c r="J185" i="1"/>
  <c r="AH185" i="1" s="1"/>
  <c r="AK185" i="1" s="1"/>
  <c r="AO185" i="1" s="1"/>
  <c r="AB184" i="1"/>
  <c r="S184" i="1"/>
  <c r="AF184" i="1" s="1"/>
  <c r="AG184" i="1" s="1"/>
  <c r="J184" i="1"/>
  <c r="AH184" i="1" s="1"/>
  <c r="AK184" i="1" s="1"/>
  <c r="AO184" i="1" s="1"/>
  <c r="AB183" i="1"/>
  <c r="S183" i="1"/>
  <c r="AF183" i="1" s="1"/>
  <c r="AG183" i="1" s="1"/>
  <c r="J183" i="1"/>
  <c r="AH183" i="1" s="1"/>
  <c r="AK183" i="1" s="1"/>
  <c r="AO183" i="1" s="1"/>
  <c r="AB182" i="1"/>
  <c r="S182" i="1"/>
  <c r="J182" i="1"/>
  <c r="AH182" i="1" s="1"/>
  <c r="AB181" i="1"/>
  <c r="S181" i="1"/>
  <c r="AF181" i="1" s="1"/>
  <c r="AG181" i="1" s="1"/>
  <c r="J181" i="1"/>
  <c r="AH181" i="1" s="1"/>
  <c r="AB180" i="1"/>
  <c r="S180" i="1"/>
  <c r="AF180" i="1" s="1"/>
  <c r="AG180" i="1" s="1"/>
  <c r="J180" i="1"/>
  <c r="AH180" i="1" s="1"/>
  <c r="AK180" i="1" s="1"/>
  <c r="AO180" i="1" s="1"/>
  <c r="AB179" i="1"/>
  <c r="S179" i="1"/>
  <c r="AF179" i="1" s="1"/>
  <c r="AG179" i="1" s="1"/>
  <c r="J179" i="1"/>
  <c r="AH179" i="1" s="1"/>
  <c r="AK179" i="1" s="1"/>
  <c r="AO179" i="1" s="1"/>
  <c r="AB178" i="1"/>
  <c r="S178" i="1"/>
  <c r="J178" i="1"/>
  <c r="AH178" i="1" s="1"/>
  <c r="AK178" i="1" s="1"/>
  <c r="AO178" i="1" s="1"/>
  <c r="AB177" i="1"/>
  <c r="S177" i="1"/>
  <c r="AF177" i="1" s="1"/>
  <c r="AG177" i="1" s="1"/>
  <c r="J177" i="1"/>
  <c r="AH177" i="1" s="1"/>
  <c r="AK177" i="1" s="1"/>
  <c r="AO177" i="1" s="1"/>
  <c r="AB176" i="1"/>
  <c r="S176" i="1"/>
  <c r="AF176" i="1" s="1"/>
  <c r="AG176" i="1" s="1"/>
  <c r="J176" i="1"/>
  <c r="AH176" i="1" s="1"/>
  <c r="AK176" i="1" s="1"/>
  <c r="AO176" i="1" s="1"/>
  <c r="AB175" i="1"/>
  <c r="S175" i="1"/>
  <c r="AF175" i="1" s="1"/>
  <c r="AG175" i="1" s="1"/>
  <c r="J175" i="1"/>
  <c r="AH175" i="1" s="1"/>
  <c r="AK175" i="1" s="1"/>
  <c r="AO175" i="1" s="1"/>
  <c r="AB174" i="1"/>
  <c r="S174" i="1"/>
  <c r="J174" i="1"/>
  <c r="AH174" i="1" s="1"/>
  <c r="AB173" i="1"/>
  <c r="S173" i="1"/>
  <c r="AF173" i="1" s="1"/>
  <c r="AG173" i="1" s="1"/>
  <c r="J173" i="1"/>
  <c r="AH173" i="1" s="1"/>
  <c r="AB172" i="1"/>
  <c r="S172" i="1"/>
  <c r="AF172" i="1" s="1"/>
  <c r="AG172" i="1" s="1"/>
  <c r="J172" i="1"/>
  <c r="AH172" i="1" s="1"/>
  <c r="AK172" i="1" s="1"/>
  <c r="AO172" i="1" s="1"/>
  <c r="AB171" i="1"/>
  <c r="S171" i="1"/>
  <c r="AF171" i="1" s="1"/>
  <c r="AG171" i="1" s="1"/>
  <c r="J171" i="1"/>
  <c r="AH171" i="1" s="1"/>
  <c r="AK171" i="1" s="1"/>
  <c r="AO171" i="1" s="1"/>
  <c r="AB170" i="1"/>
  <c r="S170" i="1"/>
  <c r="J170" i="1"/>
  <c r="AH170" i="1" s="1"/>
  <c r="AK170" i="1" s="1"/>
  <c r="AO170" i="1" s="1"/>
  <c r="AB169" i="1"/>
  <c r="S169" i="1"/>
  <c r="AF169" i="1" s="1"/>
  <c r="AG169" i="1" s="1"/>
  <c r="J169" i="1"/>
  <c r="AH169" i="1" s="1"/>
  <c r="AK169" i="1" s="1"/>
  <c r="AO169" i="1" s="1"/>
  <c r="AB168" i="1"/>
  <c r="S168" i="1"/>
  <c r="AF168" i="1" s="1"/>
  <c r="AG168" i="1" s="1"/>
  <c r="J168" i="1"/>
  <c r="AH168" i="1" s="1"/>
  <c r="AK168" i="1" s="1"/>
  <c r="AO168" i="1" s="1"/>
  <c r="AB167" i="1"/>
  <c r="S167" i="1"/>
  <c r="AF167" i="1" s="1"/>
  <c r="AG167" i="1" s="1"/>
  <c r="J167" i="1"/>
  <c r="AH167" i="1" s="1"/>
  <c r="AK167" i="1" s="1"/>
  <c r="AO167" i="1" s="1"/>
  <c r="AB166" i="1"/>
  <c r="S166" i="1"/>
  <c r="J166" i="1"/>
  <c r="AH166" i="1" s="1"/>
  <c r="AB165" i="1"/>
  <c r="S165" i="1"/>
  <c r="AF165" i="1" s="1"/>
  <c r="AG165" i="1" s="1"/>
  <c r="J165" i="1"/>
  <c r="AH165" i="1" s="1"/>
  <c r="AB164" i="1"/>
  <c r="S164" i="1"/>
  <c r="AF164" i="1" s="1"/>
  <c r="AG164" i="1" s="1"/>
  <c r="J164" i="1"/>
  <c r="AH164" i="1" s="1"/>
  <c r="AK164" i="1" s="1"/>
  <c r="AO164" i="1" s="1"/>
  <c r="AB163" i="1"/>
  <c r="S163" i="1"/>
  <c r="AF163" i="1" s="1"/>
  <c r="AG163" i="1" s="1"/>
  <c r="J163" i="1"/>
  <c r="AH163" i="1" s="1"/>
  <c r="AK163" i="1" s="1"/>
  <c r="AO163" i="1" s="1"/>
  <c r="AB162" i="1"/>
  <c r="S162" i="1"/>
  <c r="J162" i="1"/>
  <c r="AH162" i="1" s="1"/>
  <c r="AK162" i="1" s="1"/>
  <c r="AO162" i="1" s="1"/>
  <c r="AB161" i="1"/>
  <c r="S161" i="1"/>
  <c r="AF161" i="1" s="1"/>
  <c r="AG161" i="1" s="1"/>
  <c r="J161" i="1"/>
  <c r="AH161" i="1" s="1"/>
  <c r="AK161" i="1" s="1"/>
  <c r="AO161" i="1" s="1"/>
  <c r="AB160" i="1"/>
  <c r="S160" i="1"/>
  <c r="AF160" i="1" s="1"/>
  <c r="AG160" i="1" s="1"/>
  <c r="J160" i="1"/>
  <c r="AH160" i="1" s="1"/>
  <c r="AK160" i="1" s="1"/>
  <c r="AO160" i="1" s="1"/>
  <c r="AB159" i="1"/>
  <c r="J159" i="1"/>
  <c r="AH159" i="1" s="1"/>
  <c r="AB158" i="1"/>
  <c r="AF158" i="1"/>
  <c r="AG158" i="1" s="1"/>
  <c r="J158" i="1"/>
  <c r="AH158" i="1" s="1"/>
  <c r="AB157" i="1"/>
  <c r="AF157" i="1"/>
  <c r="AG157" i="1" s="1"/>
  <c r="J157" i="1"/>
  <c r="AH157" i="1" s="1"/>
  <c r="AB156" i="1"/>
  <c r="AF156" i="1"/>
  <c r="AG156" i="1" s="1"/>
  <c r="J156" i="1"/>
  <c r="AH156" i="1" s="1"/>
  <c r="AB155" i="1"/>
  <c r="AF155" i="1"/>
  <c r="AG155" i="1" s="1"/>
  <c r="J155" i="1"/>
  <c r="AH155" i="1" s="1"/>
  <c r="AB154" i="1"/>
  <c r="AF154" i="1"/>
  <c r="AG154" i="1" s="1"/>
  <c r="J154" i="1"/>
  <c r="AH154" i="1" s="1"/>
  <c r="AB153" i="1"/>
  <c r="S153" i="1"/>
  <c r="AF153" i="1" s="1"/>
  <c r="AG153" i="1" s="1"/>
  <c r="J153" i="1"/>
  <c r="AH153" i="1" s="1"/>
  <c r="AK153" i="1" s="1"/>
  <c r="AO153" i="1" s="1"/>
  <c r="AB152" i="1"/>
  <c r="S152" i="1"/>
  <c r="AF152" i="1" s="1"/>
  <c r="AG152" i="1" s="1"/>
  <c r="J152" i="1"/>
  <c r="AH152" i="1" s="1"/>
  <c r="AK152" i="1" s="1"/>
  <c r="AO152" i="1" s="1"/>
  <c r="AB151" i="1"/>
  <c r="S151" i="1"/>
  <c r="AF151" i="1" s="1"/>
  <c r="AG151" i="1" s="1"/>
  <c r="J151" i="1"/>
  <c r="AH151" i="1" s="1"/>
  <c r="AK151" i="1" s="1"/>
  <c r="AO151" i="1" s="1"/>
  <c r="AB150" i="1"/>
  <c r="S150" i="1"/>
  <c r="J150" i="1"/>
  <c r="AH150" i="1" s="1"/>
  <c r="AB149" i="1"/>
  <c r="S149" i="1"/>
  <c r="AF149" i="1" s="1"/>
  <c r="AG149" i="1" s="1"/>
  <c r="J149" i="1"/>
  <c r="AH149" i="1" s="1"/>
  <c r="AB148" i="1"/>
  <c r="S148" i="1"/>
  <c r="AF148" i="1" s="1"/>
  <c r="AG148" i="1" s="1"/>
  <c r="J148" i="1"/>
  <c r="AH148" i="1" s="1"/>
  <c r="AK148" i="1" s="1"/>
  <c r="AO148" i="1" s="1"/>
  <c r="AB147" i="1"/>
  <c r="S147" i="1"/>
  <c r="AF147" i="1" s="1"/>
  <c r="AG147" i="1" s="1"/>
  <c r="J147" i="1"/>
  <c r="AH147" i="1" s="1"/>
  <c r="AK147" i="1" s="1"/>
  <c r="AO147" i="1" s="1"/>
  <c r="AB146" i="1"/>
  <c r="S146" i="1"/>
  <c r="J146" i="1"/>
  <c r="AH146" i="1" s="1"/>
  <c r="AK146" i="1" s="1"/>
  <c r="AO146" i="1" s="1"/>
  <c r="AB145" i="1"/>
  <c r="S145" i="1"/>
  <c r="AF145" i="1" s="1"/>
  <c r="AG145" i="1" s="1"/>
  <c r="J145" i="1"/>
  <c r="AH145" i="1" s="1"/>
  <c r="AK145" i="1" s="1"/>
  <c r="AO145" i="1" s="1"/>
  <c r="AB144" i="1"/>
  <c r="S144" i="1"/>
  <c r="AF144" i="1" s="1"/>
  <c r="AG144" i="1" s="1"/>
  <c r="J144" i="1"/>
  <c r="AH144" i="1" s="1"/>
  <c r="AK144" i="1" s="1"/>
  <c r="AO144" i="1" s="1"/>
  <c r="AB143" i="1"/>
  <c r="S143" i="1"/>
  <c r="AF143" i="1" s="1"/>
  <c r="AG143" i="1" s="1"/>
  <c r="J143" i="1"/>
  <c r="AH143" i="1" s="1"/>
  <c r="AK143" i="1" s="1"/>
  <c r="AO143" i="1" s="1"/>
  <c r="AB142" i="1"/>
  <c r="S142" i="1"/>
  <c r="J142" i="1"/>
  <c r="AH142" i="1" s="1"/>
  <c r="AB141" i="1"/>
  <c r="S141" i="1"/>
  <c r="AF141" i="1" s="1"/>
  <c r="AG141" i="1" s="1"/>
  <c r="J141" i="1"/>
  <c r="AH141" i="1" s="1"/>
  <c r="AB140" i="1"/>
  <c r="S140" i="1"/>
  <c r="AF140" i="1" s="1"/>
  <c r="AG140" i="1" s="1"/>
  <c r="J140" i="1"/>
  <c r="AH140" i="1" s="1"/>
  <c r="AK140" i="1" s="1"/>
  <c r="AO140" i="1" s="1"/>
  <c r="AB139" i="1"/>
  <c r="S139" i="1"/>
  <c r="AF139" i="1" s="1"/>
  <c r="AG139" i="1" s="1"/>
  <c r="J139" i="1"/>
  <c r="AH139" i="1" s="1"/>
  <c r="AK139" i="1" s="1"/>
  <c r="AO139" i="1" s="1"/>
  <c r="AB138" i="1"/>
  <c r="S138" i="1"/>
  <c r="J138" i="1"/>
  <c r="AH138" i="1" s="1"/>
  <c r="AK138" i="1" s="1"/>
  <c r="AO138" i="1" s="1"/>
  <c r="AB137" i="1"/>
  <c r="S137" i="1"/>
  <c r="AF137" i="1" s="1"/>
  <c r="AG137" i="1" s="1"/>
  <c r="J137" i="1"/>
  <c r="AH137" i="1" s="1"/>
  <c r="AK137" i="1" s="1"/>
  <c r="AO137" i="1" s="1"/>
  <c r="AB136" i="1"/>
  <c r="S136" i="1"/>
  <c r="AF136" i="1" s="1"/>
  <c r="AG136" i="1" s="1"/>
  <c r="J136" i="1"/>
  <c r="AH136" i="1" s="1"/>
  <c r="AK136" i="1" s="1"/>
  <c r="AO136" i="1" s="1"/>
  <c r="AB135" i="1"/>
  <c r="S135" i="1"/>
  <c r="AF135" i="1" s="1"/>
  <c r="AG135" i="1" s="1"/>
  <c r="J135" i="1"/>
  <c r="AH135" i="1" s="1"/>
  <c r="AK135" i="1" s="1"/>
  <c r="AO135" i="1" s="1"/>
  <c r="AB134" i="1"/>
  <c r="S134" i="1"/>
  <c r="J134" i="1"/>
  <c r="AH134" i="1" s="1"/>
  <c r="AB133" i="1"/>
  <c r="S133" i="1"/>
  <c r="AF133" i="1" s="1"/>
  <c r="AG133" i="1" s="1"/>
  <c r="J133" i="1"/>
  <c r="AH133" i="1" s="1"/>
  <c r="AB132" i="1"/>
  <c r="S132" i="1"/>
  <c r="AF132" i="1" s="1"/>
  <c r="AG132" i="1" s="1"/>
  <c r="J132" i="1"/>
  <c r="AH132" i="1" s="1"/>
  <c r="AK132" i="1" s="1"/>
  <c r="AO132" i="1" s="1"/>
  <c r="AB131" i="1"/>
  <c r="S131" i="1"/>
  <c r="AF131" i="1" s="1"/>
  <c r="AG131" i="1" s="1"/>
  <c r="J131" i="1"/>
  <c r="AH131" i="1" s="1"/>
  <c r="AK131" i="1" s="1"/>
  <c r="AO131" i="1" s="1"/>
  <c r="AB130" i="1"/>
  <c r="S130" i="1"/>
  <c r="J130" i="1"/>
  <c r="AH130" i="1" s="1"/>
  <c r="AK130" i="1" s="1"/>
  <c r="AO130" i="1" s="1"/>
  <c r="AB129" i="1"/>
  <c r="S129" i="1"/>
  <c r="AF129" i="1" s="1"/>
  <c r="AG129" i="1" s="1"/>
  <c r="J129" i="1"/>
  <c r="AH129" i="1" s="1"/>
  <c r="AK129" i="1" s="1"/>
  <c r="AO129" i="1" s="1"/>
  <c r="AB128" i="1"/>
  <c r="S128" i="1"/>
  <c r="AF128" i="1" s="1"/>
  <c r="AG128" i="1" s="1"/>
  <c r="J128" i="1"/>
  <c r="AH128" i="1" s="1"/>
  <c r="AK128" i="1" s="1"/>
  <c r="AO128" i="1" s="1"/>
  <c r="AB127" i="1"/>
  <c r="S127" i="1"/>
  <c r="AF127" i="1" s="1"/>
  <c r="AG127" i="1" s="1"/>
  <c r="J127" i="1"/>
  <c r="AH127" i="1" s="1"/>
  <c r="AK127" i="1" s="1"/>
  <c r="AO127" i="1" s="1"/>
  <c r="AB126" i="1"/>
  <c r="S126" i="1"/>
  <c r="J126" i="1"/>
  <c r="AH126" i="1" s="1"/>
  <c r="AB125" i="1"/>
  <c r="S125" i="1"/>
  <c r="AF125" i="1" s="1"/>
  <c r="AG125" i="1" s="1"/>
  <c r="J125" i="1"/>
  <c r="AH125" i="1" s="1"/>
  <c r="AB124" i="1"/>
  <c r="S124" i="1"/>
  <c r="AF124" i="1" s="1"/>
  <c r="AG124" i="1" s="1"/>
  <c r="J124" i="1"/>
  <c r="AH124" i="1" s="1"/>
  <c r="AK124" i="1" s="1"/>
  <c r="AO124" i="1" s="1"/>
  <c r="AB123" i="1"/>
  <c r="S123" i="1"/>
  <c r="AF123" i="1" s="1"/>
  <c r="AG123" i="1" s="1"/>
  <c r="J123" i="1"/>
  <c r="AH123" i="1" s="1"/>
  <c r="AK123" i="1" s="1"/>
  <c r="AO123" i="1" s="1"/>
  <c r="AB122" i="1"/>
  <c r="S122" i="1"/>
  <c r="J122" i="1"/>
  <c r="AH122" i="1" s="1"/>
  <c r="AK122" i="1" s="1"/>
  <c r="AO122" i="1" s="1"/>
  <c r="AB121" i="1"/>
  <c r="S121" i="1"/>
  <c r="AF121" i="1" s="1"/>
  <c r="AG121" i="1" s="1"/>
  <c r="J121" i="1"/>
  <c r="AH121" i="1" s="1"/>
  <c r="AK121" i="1" s="1"/>
  <c r="AO121" i="1" s="1"/>
  <c r="AB120" i="1"/>
  <c r="S120" i="1"/>
  <c r="AF120" i="1" s="1"/>
  <c r="AG120" i="1" s="1"/>
  <c r="J120" i="1"/>
  <c r="AH120" i="1" s="1"/>
  <c r="AK120" i="1" s="1"/>
  <c r="AO120" i="1" s="1"/>
  <c r="AB119" i="1"/>
  <c r="S119" i="1"/>
  <c r="AF119" i="1" s="1"/>
  <c r="AG119" i="1" s="1"/>
  <c r="J119" i="1"/>
  <c r="AH119" i="1" s="1"/>
  <c r="AK119" i="1" s="1"/>
  <c r="AO119" i="1" s="1"/>
  <c r="AB118" i="1"/>
  <c r="S118" i="1"/>
  <c r="J118" i="1"/>
  <c r="AH118" i="1" s="1"/>
  <c r="AB117" i="1"/>
  <c r="S117" i="1"/>
  <c r="AF117" i="1" s="1"/>
  <c r="AG117" i="1" s="1"/>
  <c r="J117" i="1"/>
  <c r="AH117" i="1" s="1"/>
  <c r="AB116" i="1"/>
  <c r="S116" i="1"/>
  <c r="AF116" i="1" s="1"/>
  <c r="AG116" i="1" s="1"/>
  <c r="J116" i="1"/>
  <c r="AH116" i="1" s="1"/>
  <c r="AK116" i="1" s="1"/>
  <c r="AO116" i="1" s="1"/>
  <c r="AB115" i="1"/>
  <c r="S115" i="1"/>
  <c r="AF115" i="1" s="1"/>
  <c r="AG115" i="1" s="1"/>
  <c r="J115" i="1"/>
  <c r="AH115" i="1" s="1"/>
  <c r="AK115" i="1" s="1"/>
  <c r="AO115" i="1" s="1"/>
  <c r="AB114" i="1"/>
  <c r="S114" i="1"/>
  <c r="J114" i="1"/>
  <c r="AH114" i="1" s="1"/>
  <c r="AK114" i="1" s="1"/>
  <c r="AO114" i="1" s="1"/>
  <c r="AB113" i="1"/>
  <c r="S113" i="1"/>
  <c r="AF113" i="1" s="1"/>
  <c r="AG113" i="1" s="1"/>
  <c r="J113" i="1"/>
  <c r="AH113" i="1" s="1"/>
  <c r="AK113" i="1" s="1"/>
  <c r="AO113" i="1" s="1"/>
  <c r="AB112" i="1"/>
  <c r="S112" i="1"/>
  <c r="AF112" i="1" s="1"/>
  <c r="AG112" i="1" s="1"/>
  <c r="J112" i="1"/>
  <c r="AH112" i="1" s="1"/>
  <c r="AK112" i="1" s="1"/>
  <c r="AO112" i="1" s="1"/>
  <c r="AB111" i="1"/>
  <c r="S111" i="1"/>
  <c r="AF111" i="1" s="1"/>
  <c r="AG111" i="1" s="1"/>
  <c r="J111" i="1"/>
  <c r="AH111" i="1" s="1"/>
  <c r="AK111" i="1" s="1"/>
  <c r="AO111" i="1" s="1"/>
  <c r="AB110" i="1"/>
  <c r="S110" i="1"/>
  <c r="J110" i="1"/>
  <c r="AH110" i="1" s="1"/>
  <c r="AB109" i="1"/>
  <c r="S109" i="1"/>
  <c r="AF109" i="1" s="1"/>
  <c r="AG109" i="1" s="1"/>
  <c r="J109" i="1"/>
  <c r="AH109" i="1" s="1"/>
  <c r="AB108" i="1"/>
  <c r="S108" i="1"/>
  <c r="AF108" i="1" s="1"/>
  <c r="AG108" i="1" s="1"/>
  <c r="J108" i="1"/>
  <c r="AH108" i="1" s="1"/>
  <c r="AK108" i="1" s="1"/>
  <c r="AO108" i="1" s="1"/>
  <c r="AB107" i="1"/>
  <c r="S107" i="1"/>
  <c r="AF107" i="1" s="1"/>
  <c r="AG107" i="1" s="1"/>
  <c r="J107" i="1"/>
  <c r="AH107" i="1" s="1"/>
  <c r="AK107" i="1" s="1"/>
  <c r="AO107" i="1" s="1"/>
  <c r="AB106" i="1"/>
  <c r="S106" i="1"/>
  <c r="J106" i="1"/>
  <c r="AH106" i="1" s="1"/>
  <c r="AK106" i="1" s="1"/>
  <c r="AO106" i="1" s="1"/>
  <c r="AB105" i="1"/>
  <c r="S105" i="1"/>
  <c r="AF105" i="1" s="1"/>
  <c r="AG105" i="1" s="1"/>
  <c r="J105" i="1"/>
  <c r="AH105" i="1" s="1"/>
  <c r="AK105" i="1" s="1"/>
  <c r="AO105" i="1" s="1"/>
  <c r="AB104" i="1"/>
  <c r="S104" i="1"/>
  <c r="AF104" i="1" s="1"/>
  <c r="AG104" i="1" s="1"/>
  <c r="J104" i="1"/>
  <c r="AH104" i="1" s="1"/>
  <c r="AK104" i="1" s="1"/>
  <c r="AO104" i="1" s="1"/>
  <c r="AB103" i="1"/>
  <c r="S103" i="1"/>
  <c r="AF103" i="1" s="1"/>
  <c r="AG103" i="1" s="1"/>
  <c r="J103" i="1"/>
  <c r="AH103" i="1" s="1"/>
  <c r="AK103" i="1" s="1"/>
  <c r="AO103" i="1" s="1"/>
  <c r="AB102" i="1"/>
  <c r="S102" i="1"/>
  <c r="J102" i="1"/>
  <c r="AH102" i="1" s="1"/>
  <c r="AB101" i="1"/>
  <c r="S101" i="1"/>
  <c r="AF101" i="1" s="1"/>
  <c r="AG101" i="1" s="1"/>
  <c r="J101" i="1"/>
  <c r="AH101" i="1" s="1"/>
  <c r="AB100" i="1"/>
  <c r="S100" i="1"/>
  <c r="AF100" i="1" s="1"/>
  <c r="AG100" i="1" s="1"/>
  <c r="J100" i="1"/>
  <c r="AH100" i="1" s="1"/>
  <c r="AK100" i="1" s="1"/>
  <c r="AO100" i="1" s="1"/>
  <c r="AB99" i="1"/>
  <c r="S99" i="1"/>
  <c r="AF99" i="1" s="1"/>
  <c r="AG99" i="1" s="1"/>
  <c r="J99" i="1"/>
  <c r="AH99" i="1" s="1"/>
  <c r="AK99" i="1" s="1"/>
  <c r="AO99" i="1" s="1"/>
  <c r="AB98" i="1"/>
  <c r="S98" i="1"/>
  <c r="J98" i="1"/>
  <c r="AH98" i="1" s="1"/>
  <c r="AK98" i="1" s="1"/>
  <c r="AO98" i="1" s="1"/>
  <c r="AB97" i="1"/>
  <c r="S97" i="1"/>
  <c r="AF97" i="1" s="1"/>
  <c r="AG97" i="1" s="1"/>
  <c r="J97" i="1"/>
  <c r="AH97" i="1" s="1"/>
  <c r="AK97" i="1" s="1"/>
  <c r="AO97" i="1" s="1"/>
  <c r="AB96" i="1"/>
  <c r="S96" i="1"/>
  <c r="AF96" i="1" s="1"/>
  <c r="AG96" i="1" s="1"/>
  <c r="J96" i="1"/>
  <c r="AH96" i="1" s="1"/>
  <c r="AK96" i="1" s="1"/>
  <c r="AO96" i="1" s="1"/>
  <c r="AB95" i="1"/>
  <c r="S95" i="1"/>
  <c r="AF95" i="1" s="1"/>
  <c r="AG95" i="1" s="1"/>
  <c r="J95" i="1"/>
  <c r="AH95" i="1" s="1"/>
  <c r="AK95" i="1" s="1"/>
  <c r="AO95" i="1" s="1"/>
  <c r="AB94" i="1"/>
  <c r="S94" i="1"/>
  <c r="J94" i="1"/>
  <c r="AH94" i="1" s="1"/>
  <c r="AB93" i="1"/>
  <c r="S93" i="1"/>
  <c r="AF93" i="1" s="1"/>
  <c r="AG93" i="1" s="1"/>
  <c r="J93" i="1"/>
  <c r="AH93" i="1" s="1"/>
  <c r="AB92" i="1"/>
  <c r="S92" i="1"/>
  <c r="AF92" i="1" s="1"/>
  <c r="AG92" i="1" s="1"/>
  <c r="J92" i="1"/>
  <c r="AH92" i="1" s="1"/>
  <c r="AK92" i="1" s="1"/>
  <c r="AO92" i="1" s="1"/>
  <c r="AB91" i="1"/>
  <c r="J91" i="1"/>
  <c r="AH91" i="1" s="1"/>
  <c r="AB90" i="1"/>
  <c r="AF90" i="1"/>
  <c r="AG90" i="1" s="1"/>
  <c r="J90" i="1"/>
  <c r="AH90" i="1" s="1"/>
  <c r="AB89" i="1"/>
  <c r="AF89" i="1"/>
  <c r="AG89" i="1" s="1"/>
  <c r="J89" i="1"/>
  <c r="AH89" i="1" s="1"/>
  <c r="AB88" i="1"/>
  <c r="AF88" i="1"/>
  <c r="AG88" i="1" s="1"/>
  <c r="J88" i="1"/>
  <c r="AH88" i="1" s="1"/>
  <c r="AB87" i="1"/>
  <c r="AF87" i="1"/>
  <c r="AG87" i="1" s="1"/>
  <c r="J87" i="1"/>
  <c r="AH87" i="1" s="1"/>
  <c r="AB86" i="1"/>
  <c r="AF86" i="1"/>
  <c r="AG86" i="1" s="1"/>
  <c r="J86" i="1"/>
  <c r="AH86" i="1" s="1"/>
  <c r="AB85" i="1"/>
  <c r="AF85" i="1"/>
  <c r="AG85" i="1" s="1"/>
  <c r="J85" i="1"/>
  <c r="AH85" i="1" s="1"/>
  <c r="AB84" i="1"/>
  <c r="AF84" i="1"/>
  <c r="AG84" i="1" s="1"/>
  <c r="J84" i="1"/>
  <c r="AH84" i="1" s="1"/>
  <c r="AB83" i="1"/>
  <c r="AF83" i="1"/>
  <c r="AG83" i="1" s="1"/>
  <c r="J83" i="1"/>
  <c r="AH83" i="1" s="1"/>
  <c r="AF82" i="1"/>
  <c r="AG82" i="1" s="1"/>
  <c r="AB82" i="1"/>
  <c r="J82" i="1"/>
  <c r="AH82" i="1" s="1"/>
  <c r="AB81" i="1"/>
  <c r="AF81" i="1"/>
  <c r="AG81" i="1" s="1"/>
  <c r="J81" i="1"/>
  <c r="AH81" i="1" s="1"/>
  <c r="AB80" i="1"/>
  <c r="AF80" i="1"/>
  <c r="AG80" i="1" s="1"/>
  <c r="J80" i="1"/>
  <c r="AH80" i="1" s="1"/>
  <c r="AB79" i="1"/>
  <c r="AF79" i="1"/>
  <c r="AG79" i="1" s="1"/>
  <c r="J79" i="1"/>
  <c r="AH79" i="1" s="1"/>
  <c r="AB78" i="1"/>
  <c r="AF78" i="1"/>
  <c r="AG78" i="1" s="1"/>
  <c r="J78" i="1"/>
  <c r="AH78" i="1" s="1"/>
  <c r="AB77" i="1"/>
  <c r="AF77" i="1"/>
  <c r="AG77" i="1" s="1"/>
  <c r="J77" i="1"/>
  <c r="AH77" i="1" s="1"/>
  <c r="AB76" i="1"/>
  <c r="AF76" i="1"/>
  <c r="AG76" i="1" s="1"/>
  <c r="J76" i="1"/>
  <c r="AH76" i="1" s="1"/>
  <c r="AB75" i="1"/>
  <c r="AF75" i="1"/>
  <c r="AG75" i="1" s="1"/>
  <c r="J75" i="1"/>
  <c r="AH75" i="1" s="1"/>
  <c r="AB74" i="1"/>
  <c r="S74" i="1"/>
  <c r="J74" i="1"/>
  <c r="AH74" i="1" s="1"/>
  <c r="AK74" i="1" s="1"/>
  <c r="AO74" i="1" s="1"/>
  <c r="AB73" i="1"/>
  <c r="S73" i="1"/>
  <c r="AF73" i="1" s="1"/>
  <c r="AG73" i="1" s="1"/>
  <c r="J73" i="1"/>
  <c r="AH73" i="1" s="1"/>
  <c r="AK73" i="1" s="1"/>
  <c r="AO73" i="1" s="1"/>
  <c r="AB72" i="1"/>
  <c r="S72" i="1"/>
  <c r="AF72" i="1" s="1"/>
  <c r="AG72" i="1" s="1"/>
  <c r="J72" i="1"/>
  <c r="AH72" i="1" s="1"/>
  <c r="AK72" i="1" s="1"/>
  <c r="AO72" i="1" s="1"/>
  <c r="AB71" i="1"/>
  <c r="S71" i="1"/>
  <c r="AF71" i="1" s="1"/>
  <c r="AG71" i="1" s="1"/>
  <c r="J71" i="1"/>
  <c r="AH71" i="1" s="1"/>
  <c r="AK71" i="1" s="1"/>
  <c r="AO71" i="1" s="1"/>
  <c r="AB70" i="1"/>
  <c r="S70" i="1"/>
  <c r="J70" i="1"/>
  <c r="AH70" i="1" s="1"/>
  <c r="AB69" i="1"/>
  <c r="S69" i="1"/>
  <c r="AF69" i="1" s="1"/>
  <c r="AG69" i="1" s="1"/>
  <c r="J69" i="1"/>
  <c r="AH69" i="1" s="1"/>
  <c r="AB68" i="1"/>
  <c r="S68" i="1"/>
  <c r="AF68" i="1" s="1"/>
  <c r="AG68" i="1" s="1"/>
  <c r="J68" i="1"/>
  <c r="AH68" i="1" s="1"/>
  <c r="AK68" i="1" s="1"/>
  <c r="AO68" i="1" s="1"/>
  <c r="AB67" i="1"/>
  <c r="S67" i="1"/>
  <c r="AF67" i="1" s="1"/>
  <c r="AG67" i="1" s="1"/>
  <c r="J67" i="1"/>
  <c r="AH67" i="1" s="1"/>
  <c r="AK67" i="1" s="1"/>
  <c r="AO67" i="1" s="1"/>
  <c r="AB66" i="1"/>
  <c r="S66" i="1"/>
  <c r="J66" i="1"/>
  <c r="AH66" i="1" s="1"/>
  <c r="AK66" i="1" s="1"/>
  <c r="AO66" i="1" s="1"/>
  <c r="AB65" i="1"/>
  <c r="S65" i="1"/>
  <c r="AF65" i="1" s="1"/>
  <c r="AG65" i="1" s="1"/>
  <c r="J65" i="1"/>
  <c r="AH65" i="1" s="1"/>
  <c r="AB64" i="1"/>
  <c r="S64" i="1"/>
  <c r="AF64" i="1" s="1"/>
  <c r="AG64" i="1" s="1"/>
  <c r="J64" i="1"/>
  <c r="AH64" i="1" s="1"/>
  <c r="AB63" i="1"/>
  <c r="S63" i="1"/>
  <c r="AF63" i="1" s="1"/>
  <c r="AG63" i="1" s="1"/>
  <c r="J63" i="1"/>
  <c r="AH63" i="1" s="1"/>
  <c r="AK63" i="1" s="1"/>
  <c r="AO63" i="1" s="1"/>
  <c r="AB62" i="1"/>
  <c r="S62" i="1"/>
  <c r="J62" i="1"/>
  <c r="AH62" i="1" s="1"/>
  <c r="AK62" i="1" s="1"/>
  <c r="AO62" i="1" s="1"/>
  <c r="AB61" i="1"/>
  <c r="S61" i="1"/>
  <c r="AF61" i="1" s="1"/>
  <c r="AG61" i="1" s="1"/>
  <c r="J61" i="1"/>
  <c r="AH61" i="1" s="1"/>
  <c r="AK61" i="1" s="1"/>
  <c r="AO61" i="1" s="1"/>
  <c r="AB60" i="1"/>
  <c r="S60" i="1"/>
  <c r="AF60" i="1" s="1"/>
  <c r="AG60" i="1" s="1"/>
  <c r="J60" i="1"/>
  <c r="AH60" i="1" s="1"/>
  <c r="AK60" i="1" s="1"/>
  <c r="AO60" i="1" s="1"/>
  <c r="AB59" i="1"/>
  <c r="S59" i="1"/>
  <c r="AF59" i="1" s="1"/>
  <c r="AG59" i="1" s="1"/>
  <c r="J59" i="1"/>
  <c r="AH59" i="1" s="1"/>
  <c r="AK59" i="1" s="1"/>
  <c r="AO59" i="1" s="1"/>
  <c r="AB58" i="1"/>
  <c r="S58" i="1"/>
  <c r="J58" i="1"/>
  <c r="AH58" i="1" s="1"/>
  <c r="AK58" i="1" s="1"/>
  <c r="AO58" i="1" s="1"/>
  <c r="AB57" i="1"/>
  <c r="S57" i="1"/>
  <c r="AF57" i="1" s="1"/>
  <c r="AG57" i="1" s="1"/>
  <c r="J57" i="1"/>
  <c r="AH57" i="1" s="1"/>
  <c r="AF56" i="1"/>
  <c r="AG56" i="1" s="1"/>
  <c r="AB56" i="1"/>
  <c r="J56" i="1"/>
  <c r="AH56" i="1" s="1"/>
  <c r="AF55" i="1"/>
  <c r="AG55" i="1" s="1"/>
  <c r="AB55" i="1"/>
  <c r="J55" i="1"/>
  <c r="AH55" i="1" s="1"/>
  <c r="AF54" i="1"/>
  <c r="AG54" i="1" s="1"/>
  <c r="AB54" i="1"/>
  <c r="J54" i="1"/>
  <c r="AH54" i="1" s="1"/>
  <c r="AF53" i="1"/>
  <c r="AG53" i="1" s="1"/>
  <c r="AB53" i="1"/>
  <c r="J53" i="1"/>
  <c r="AH53" i="1" s="1"/>
  <c r="AF52" i="1"/>
  <c r="AG52" i="1" s="1"/>
  <c r="AB52" i="1"/>
  <c r="J52" i="1"/>
  <c r="AH52" i="1" s="1"/>
  <c r="AF51" i="1"/>
  <c r="AG51" i="1" s="1"/>
  <c r="AB51" i="1"/>
  <c r="J51" i="1"/>
  <c r="AH51" i="1" s="1"/>
  <c r="AF50" i="1"/>
  <c r="AG50" i="1" s="1"/>
  <c r="AB50" i="1"/>
  <c r="J50" i="1"/>
  <c r="AH50" i="1" s="1"/>
  <c r="AB49" i="1"/>
  <c r="S49" i="1"/>
  <c r="AF49" i="1" s="1"/>
  <c r="AG49" i="1" s="1"/>
  <c r="J49" i="1"/>
  <c r="AH49" i="1" s="1"/>
  <c r="AB48" i="1"/>
  <c r="S48" i="1"/>
  <c r="AF48" i="1" s="1"/>
  <c r="AG48" i="1" s="1"/>
  <c r="J48" i="1"/>
  <c r="AH48" i="1" s="1"/>
  <c r="AB47" i="1"/>
  <c r="S47" i="1"/>
  <c r="AF47" i="1" s="1"/>
  <c r="AG47" i="1" s="1"/>
  <c r="J47" i="1"/>
  <c r="AH47" i="1" s="1"/>
  <c r="AK47" i="1" s="1"/>
  <c r="AO47" i="1" s="1"/>
  <c r="AB46" i="1"/>
  <c r="S46" i="1"/>
  <c r="J46" i="1"/>
  <c r="AH46" i="1" s="1"/>
  <c r="AK46" i="1" s="1"/>
  <c r="AO46" i="1" s="1"/>
  <c r="AF45" i="1"/>
  <c r="AG45" i="1" s="1"/>
  <c r="AB45" i="1"/>
  <c r="J45" i="1"/>
  <c r="AH45" i="1" s="1"/>
  <c r="AF44" i="1"/>
  <c r="AG44" i="1" s="1"/>
  <c r="AB44" i="1"/>
  <c r="J44" i="1"/>
  <c r="AH44" i="1" s="1"/>
  <c r="AF43" i="1"/>
  <c r="AG43" i="1" s="1"/>
  <c r="AB43" i="1"/>
  <c r="J43" i="1"/>
  <c r="AH43" i="1" s="1"/>
  <c r="AF42" i="1"/>
  <c r="AG42" i="1" s="1"/>
  <c r="AB42" i="1"/>
  <c r="J42" i="1"/>
  <c r="AH42" i="1" s="1"/>
  <c r="AF41" i="1"/>
  <c r="AG41" i="1" s="1"/>
  <c r="AB41" i="1"/>
  <c r="J41" i="1"/>
  <c r="AH41" i="1" s="1"/>
  <c r="AB40" i="1"/>
  <c r="S40" i="1"/>
  <c r="AF40" i="1" s="1"/>
  <c r="AG40" i="1" s="1"/>
  <c r="J40" i="1"/>
  <c r="AH40" i="1" s="1"/>
  <c r="AF39" i="1"/>
  <c r="AG39" i="1" s="1"/>
  <c r="AB39" i="1"/>
  <c r="J39" i="1"/>
  <c r="AH39" i="1" s="1"/>
  <c r="AF38" i="1"/>
  <c r="AG38" i="1" s="1"/>
  <c r="AB38" i="1"/>
  <c r="J38" i="1"/>
  <c r="AH38" i="1" s="1"/>
  <c r="AB37" i="1"/>
  <c r="S37" i="1"/>
  <c r="AF37" i="1" s="1"/>
  <c r="AG37" i="1" s="1"/>
  <c r="J37" i="1"/>
  <c r="AH37" i="1" s="1"/>
  <c r="AK37" i="1" s="1"/>
  <c r="AO37" i="1" s="1"/>
  <c r="AB36" i="1"/>
  <c r="S36" i="1"/>
  <c r="AF36" i="1" s="1"/>
  <c r="AG36" i="1" s="1"/>
  <c r="J36" i="1"/>
  <c r="AH36" i="1" s="1"/>
  <c r="AK36" i="1" s="1"/>
  <c r="AO36" i="1" s="1"/>
  <c r="AB35" i="1"/>
  <c r="S35" i="1"/>
  <c r="AF35" i="1" s="1"/>
  <c r="AG35" i="1" s="1"/>
  <c r="J35" i="1"/>
  <c r="AH35" i="1" s="1"/>
  <c r="AK35" i="1" s="1"/>
  <c r="AO35" i="1" s="1"/>
  <c r="AB34" i="1"/>
  <c r="S34" i="1"/>
  <c r="J34" i="1"/>
  <c r="AH34" i="1" s="1"/>
  <c r="AK34" i="1" s="1"/>
  <c r="AO34" i="1" s="1"/>
  <c r="AB33" i="1"/>
  <c r="S33" i="1"/>
  <c r="AF33" i="1" s="1"/>
  <c r="AG33" i="1" s="1"/>
  <c r="J33" i="1"/>
  <c r="AH33" i="1" s="1"/>
  <c r="AB32" i="1"/>
  <c r="S32" i="1"/>
  <c r="AF32" i="1" s="1"/>
  <c r="AG32" i="1" s="1"/>
  <c r="J32" i="1"/>
  <c r="AH32" i="1" s="1"/>
  <c r="AB31" i="1"/>
  <c r="S31" i="1"/>
  <c r="AF31" i="1" s="1"/>
  <c r="AG31" i="1" s="1"/>
  <c r="J31" i="1"/>
  <c r="AH31" i="1" s="1"/>
  <c r="AK31" i="1" s="1"/>
  <c r="AO31" i="1" s="1"/>
  <c r="AB30" i="1"/>
  <c r="S30" i="1"/>
  <c r="J30" i="1"/>
  <c r="AH30" i="1" s="1"/>
  <c r="AK30" i="1" s="1"/>
  <c r="AO30" i="1" s="1"/>
  <c r="AB29" i="1"/>
  <c r="S29" i="1"/>
  <c r="AF29" i="1" s="1"/>
  <c r="AG29" i="1" s="1"/>
  <c r="J29" i="1"/>
  <c r="AH29" i="1" s="1"/>
  <c r="AK29" i="1" s="1"/>
  <c r="AO29" i="1" s="1"/>
  <c r="AB28" i="1"/>
  <c r="J28" i="1"/>
  <c r="AH28" i="1" s="1"/>
  <c r="AF27" i="1"/>
  <c r="AG27" i="1" s="1"/>
  <c r="AB27" i="1"/>
  <c r="J27" i="1"/>
  <c r="AH27" i="1" s="1"/>
  <c r="AF26" i="1"/>
  <c r="AG26" i="1" s="1"/>
  <c r="AB26" i="1"/>
  <c r="J26" i="1"/>
  <c r="AH26" i="1" s="1"/>
  <c r="AF25" i="1"/>
  <c r="AG25" i="1" s="1"/>
  <c r="AB25" i="1"/>
  <c r="J25" i="1"/>
  <c r="AH25" i="1" s="1"/>
  <c r="AF24" i="1"/>
  <c r="AG24" i="1" s="1"/>
  <c r="AB24" i="1"/>
  <c r="J24" i="1"/>
  <c r="AH24" i="1" s="1"/>
  <c r="AB23" i="1"/>
  <c r="S23" i="1"/>
  <c r="AF23" i="1" s="1"/>
  <c r="AG23" i="1" s="1"/>
  <c r="J23" i="1"/>
  <c r="AH23" i="1" s="1"/>
  <c r="AK23" i="1" s="1"/>
  <c r="AO23" i="1" s="1"/>
  <c r="AB22" i="1"/>
  <c r="S22" i="1"/>
  <c r="J22" i="1"/>
  <c r="AH22" i="1" s="1"/>
  <c r="AK22" i="1" s="1"/>
  <c r="AO22" i="1" s="1"/>
  <c r="AB21" i="1"/>
  <c r="S21" i="1"/>
  <c r="AF21" i="1" s="1"/>
  <c r="AG21" i="1" s="1"/>
  <c r="J21" i="1"/>
  <c r="AH21" i="1" s="1"/>
  <c r="AK21" i="1" s="1"/>
  <c r="AO21" i="1" s="1"/>
  <c r="AB20" i="1"/>
  <c r="S20" i="1"/>
  <c r="AF20" i="1" s="1"/>
  <c r="AG20" i="1" s="1"/>
  <c r="J20" i="1"/>
  <c r="AH20" i="1" s="1"/>
  <c r="AK20" i="1" s="1"/>
  <c r="AO20" i="1" s="1"/>
  <c r="AB19" i="1"/>
  <c r="S19" i="1"/>
  <c r="AF19" i="1" s="1"/>
  <c r="AG19" i="1" s="1"/>
  <c r="J19" i="1"/>
  <c r="AH19" i="1" s="1"/>
  <c r="AK19" i="1" s="1"/>
  <c r="AO19" i="1" s="1"/>
  <c r="AB18" i="1"/>
  <c r="S18" i="1"/>
  <c r="J18" i="1"/>
  <c r="AH18" i="1" s="1"/>
  <c r="AK18" i="1" s="1"/>
  <c r="AO18" i="1" s="1"/>
  <c r="AB17" i="1"/>
  <c r="S17" i="1"/>
  <c r="AF17" i="1" s="1"/>
  <c r="AG17" i="1" s="1"/>
  <c r="J17" i="1"/>
  <c r="AH17" i="1" s="1"/>
  <c r="AB16" i="1"/>
  <c r="S16" i="1"/>
  <c r="AF16" i="1" s="1"/>
  <c r="AG16" i="1" s="1"/>
  <c r="J16" i="1"/>
  <c r="AH16" i="1" s="1"/>
  <c r="AB15" i="1"/>
  <c r="S15" i="1"/>
  <c r="AF15" i="1" s="1"/>
  <c r="AG15" i="1" s="1"/>
  <c r="J15" i="1"/>
  <c r="AH15" i="1" s="1"/>
  <c r="AK15" i="1" s="1"/>
  <c r="AO15" i="1" s="1"/>
  <c r="AB14" i="1"/>
  <c r="S14" i="1"/>
  <c r="J14" i="1"/>
  <c r="AH14" i="1" s="1"/>
  <c r="AK14" i="1" s="1"/>
  <c r="AO14" i="1" s="1"/>
  <c r="AB13" i="1"/>
  <c r="S13" i="1"/>
  <c r="AF13" i="1" s="1"/>
  <c r="AG13" i="1" s="1"/>
  <c r="J13" i="1"/>
  <c r="AH13" i="1" s="1"/>
  <c r="AK13" i="1" s="1"/>
  <c r="AO13" i="1" s="1"/>
  <c r="AB12" i="1"/>
  <c r="S12" i="1"/>
  <c r="AF12" i="1" s="1"/>
  <c r="AG12" i="1" s="1"/>
  <c r="J12" i="1"/>
  <c r="AH12" i="1" s="1"/>
  <c r="AK12" i="1" s="1"/>
  <c r="AO12" i="1" s="1"/>
  <c r="AB11" i="1"/>
  <c r="S11" i="1"/>
  <c r="AF11" i="1" s="1"/>
  <c r="AG11" i="1" s="1"/>
  <c r="J11" i="1"/>
  <c r="AH11" i="1" s="1"/>
  <c r="AK11" i="1" s="1"/>
  <c r="AO11" i="1" s="1"/>
  <c r="AB10" i="1"/>
  <c r="S10" i="1"/>
  <c r="J10" i="1"/>
  <c r="AH10" i="1" s="1"/>
  <c r="AK10" i="1" s="1"/>
  <c r="AO10" i="1" s="1"/>
  <c r="AB9" i="1"/>
  <c r="S9" i="1"/>
  <c r="AF9" i="1" s="1"/>
  <c r="AG9" i="1" s="1"/>
  <c r="J9" i="1"/>
  <c r="AH9" i="1" s="1"/>
  <c r="AB8" i="1"/>
  <c r="S8" i="1"/>
  <c r="AF8" i="1" s="1"/>
  <c r="AG8" i="1" s="1"/>
  <c r="J8" i="1"/>
  <c r="AH8" i="1" s="1"/>
  <c r="AB7" i="1"/>
  <c r="S7" i="1"/>
  <c r="AF7" i="1" s="1"/>
  <c r="AG7" i="1" s="1"/>
  <c r="J7" i="1"/>
  <c r="AH7" i="1" s="1"/>
  <c r="AK7" i="1" s="1"/>
  <c r="AO7" i="1" s="1"/>
  <c r="AB6" i="1"/>
  <c r="S6" i="1"/>
  <c r="AF6" i="1" s="1"/>
  <c r="AG6" i="1" s="1"/>
  <c r="J6" i="1"/>
  <c r="AH6" i="1" s="1"/>
  <c r="AK6" i="1" s="1"/>
  <c r="AO6" i="1" s="1"/>
  <c r="AB5" i="1"/>
  <c r="S5" i="1"/>
  <c r="AF5" i="1" s="1"/>
  <c r="AG5" i="1" s="1"/>
  <c r="J5" i="1"/>
  <c r="AH5" i="1" s="1"/>
  <c r="AK5" i="1" s="1"/>
  <c r="AO5" i="1" s="1"/>
  <c r="AB4" i="1"/>
  <c r="S4" i="1"/>
  <c r="AF4" i="1" s="1"/>
  <c r="AG4" i="1" s="1"/>
  <c r="J4" i="1"/>
  <c r="AH4" i="1" s="1"/>
  <c r="AK4" i="1" s="1"/>
  <c r="AO4" i="1" s="1"/>
  <c r="AB3" i="1"/>
  <c r="S3" i="1"/>
  <c r="AF3" i="1" s="1"/>
  <c r="AG3" i="1" s="1"/>
  <c r="J3" i="1"/>
  <c r="AH3" i="1" s="1"/>
  <c r="AK3" i="1" s="1"/>
  <c r="AO3" i="1" s="1"/>
  <c r="AB2" i="1"/>
  <c r="S2" i="1"/>
  <c r="AF2" i="1" s="1"/>
  <c r="AG2" i="1" s="1"/>
  <c r="J2" i="1"/>
  <c r="AF91" i="1" l="1"/>
  <c r="AG91" i="1" s="1"/>
  <c r="AM289" i="1"/>
  <c r="AM288" i="1"/>
  <c r="AM137" i="1"/>
  <c r="AM251" i="1"/>
  <c r="AF159" i="1"/>
  <c r="AG159" i="1" s="1"/>
  <c r="AM207" i="1"/>
  <c r="AM231" i="1"/>
  <c r="AM195" i="1"/>
  <c r="AM241" i="1"/>
  <c r="AM236" i="1"/>
  <c r="AM132" i="1"/>
  <c r="AM271" i="1"/>
  <c r="AM172" i="1"/>
  <c r="AM227" i="1"/>
  <c r="AM181" i="1"/>
  <c r="AM252" i="1"/>
  <c r="AM101" i="1"/>
  <c r="AM180" i="1"/>
  <c r="AM67" i="1"/>
  <c r="AM117" i="1"/>
  <c r="AM73" i="1"/>
  <c r="AM197" i="1"/>
  <c r="AM109" i="1"/>
  <c r="AM196" i="1"/>
  <c r="AM63" i="1"/>
  <c r="AM129" i="1"/>
  <c r="AM120" i="1"/>
  <c r="AM213" i="1"/>
  <c r="AM141" i="1"/>
  <c r="AM108" i="1"/>
  <c r="AM143" i="1"/>
  <c r="AM217" i="1"/>
  <c r="AM184" i="1"/>
  <c r="AM33" i="1"/>
  <c r="AM12" i="1"/>
  <c r="AM167" i="1"/>
  <c r="AM273" i="1"/>
  <c r="AM280" i="1"/>
  <c r="AM105" i="1"/>
  <c r="AM36" i="1"/>
  <c r="AF130" i="1"/>
  <c r="AG130" i="1" s="1"/>
  <c r="AM130" i="1"/>
  <c r="AF210" i="1"/>
  <c r="AG210" i="1" s="1"/>
  <c r="AM210" i="1"/>
  <c r="AH2" i="1"/>
  <c r="AK2" i="1" s="1"/>
  <c r="AO2" i="1" s="1"/>
  <c r="AM47" i="1"/>
  <c r="AM135" i="1"/>
  <c r="AM199" i="1"/>
  <c r="AM263" i="1"/>
  <c r="AM193" i="1"/>
  <c r="AM171" i="1"/>
  <c r="AM61" i="1"/>
  <c r="AM16" i="1"/>
  <c r="AM112" i="1"/>
  <c r="AM176" i="1"/>
  <c r="AM264" i="1"/>
  <c r="AM225" i="1"/>
  <c r="AM211" i="1"/>
  <c r="AM37" i="1"/>
  <c r="AM17" i="1"/>
  <c r="AM203" i="1"/>
  <c r="AM133" i="1"/>
  <c r="AM59" i="1"/>
  <c r="AM235" i="1"/>
  <c r="AM4" i="1"/>
  <c r="AM100" i="1"/>
  <c r="AM204" i="1"/>
  <c r="AF34" i="1"/>
  <c r="AG34" i="1" s="1"/>
  <c r="AM34" i="1"/>
  <c r="AF58" i="1"/>
  <c r="AG58" i="1" s="1"/>
  <c r="AM58" i="1"/>
  <c r="AF74" i="1"/>
  <c r="AG74" i="1" s="1"/>
  <c r="AM74" i="1"/>
  <c r="AF98" i="1"/>
  <c r="AG98" i="1" s="1"/>
  <c r="AM98" i="1"/>
  <c r="AF106" i="1"/>
  <c r="AG106" i="1" s="1"/>
  <c r="AM106" i="1"/>
  <c r="AF114" i="1"/>
  <c r="AG114" i="1" s="1"/>
  <c r="AM114" i="1"/>
  <c r="AF122" i="1"/>
  <c r="AG122" i="1" s="1"/>
  <c r="AM122" i="1"/>
  <c r="AF146" i="1"/>
  <c r="AG146" i="1" s="1"/>
  <c r="AM146" i="1"/>
  <c r="AF162" i="1"/>
  <c r="AG162" i="1" s="1"/>
  <c r="AM162" i="1"/>
  <c r="AF170" i="1"/>
  <c r="AG170" i="1" s="1"/>
  <c r="AM170" i="1"/>
  <c r="AF194" i="1"/>
  <c r="AG194" i="1" s="1"/>
  <c r="AM194" i="1"/>
  <c r="AF226" i="1"/>
  <c r="AG226" i="1" s="1"/>
  <c r="AM226" i="1"/>
  <c r="AF250" i="1"/>
  <c r="AG250" i="1" s="1"/>
  <c r="AM250" i="1"/>
  <c r="AF258" i="1"/>
  <c r="AG258" i="1" s="1"/>
  <c r="AM258" i="1"/>
  <c r="AF266" i="1"/>
  <c r="AG266" i="1" s="1"/>
  <c r="AM266" i="1"/>
  <c r="AF274" i="1"/>
  <c r="AG274" i="1" s="1"/>
  <c r="AM274" i="1"/>
  <c r="AF282" i="1"/>
  <c r="AG282" i="1" s="1"/>
  <c r="AM282" i="1"/>
  <c r="AM32" i="1"/>
  <c r="AM71" i="1"/>
  <c r="AM151" i="1"/>
  <c r="AM215" i="1"/>
  <c r="AM279" i="1"/>
  <c r="AM97" i="1"/>
  <c r="AM233" i="1"/>
  <c r="AM219" i="1"/>
  <c r="AM125" i="1"/>
  <c r="AM40" i="1"/>
  <c r="AM128" i="1"/>
  <c r="AM192" i="1"/>
  <c r="AM65" i="1"/>
  <c r="AM257" i="1"/>
  <c r="AM259" i="1"/>
  <c r="AM149" i="1"/>
  <c r="AM49" i="1"/>
  <c r="AM283" i="1"/>
  <c r="AM221" i="1"/>
  <c r="AM260" i="1"/>
  <c r="AM20" i="1"/>
  <c r="AM116" i="1"/>
  <c r="AM13" i="1"/>
  <c r="AM95" i="1"/>
  <c r="AM223" i="1"/>
  <c r="AM287" i="1"/>
  <c r="AM113" i="1"/>
  <c r="AM249" i="1"/>
  <c r="AM267" i="1"/>
  <c r="AM165" i="1"/>
  <c r="AM48" i="1"/>
  <c r="AM136" i="1"/>
  <c r="AM200" i="1"/>
  <c r="AM121" i="1"/>
  <c r="AM281" i="1"/>
  <c r="AM275" i="1"/>
  <c r="AM173" i="1"/>
  <c r="AM57" i="1"/>
  <c r="AM188" i="1"/>
  <c r="AM269" i="1"/>
  <c r="AM99" i="1"/>
  <c r="AM5" i="1"/>
  <c r="AM28" i="1"/>
  <c r="AM124" i="1"/>
  <c r="AM69" i="1"/>
  <c r="AF62" i="1"/>
  <c r="AG62" i="1" s="1"/>
  <c r="AM62" i="1"/>
  <c r="AF94" i="1"/>
  <c r="AG94" i="1" s="1"/>
  <c r="AM94" i="1"/>
  <c r="AF110" i="1"/>
  <c r="AG110" i="1" s="1"/>
  <c r="AM110" i="1"/>
  <c r="AF142" i="1"/>
  <c r="AG142" i="1" s="1"/>
  <c r="AM142" i="1"/>
  <c r="AF150" i="1"/>
  <c r="AG150" i="1" s="1"/>
  <c r="AM150" i="1"/>
  <c r="AF166" i="1"/>
  <c r="AG166" i="1" s="1"/>
  <c r="AM166" i="1"/>
  <c r="AF174" i="1"/>
  <c r="AG174" i="1" s="1"/>
  <c r="AM174" i="1"/>
  <c r="AF182" i="1"/>
  <c r="AG182" i="1" s="1"/>
  <c r="AM182" i="1"/>
  <c r="AF190" i="1"/>
  <c r="AG190" i="1" s="1"/>
  <c r="AM190" i="1"/>
  <c r="AF198" i="1"/>
  <c r="AG198" i="1" s="1"/>
  <c r="AM198" i="1"/>
  <c r="AF206" i="1"/>
  <c r="AG206" i="1" s="1"/>
  <c r="AM206" i="1"/>
  <c r="AF214" i="1"/>
  <c r="AG214" i="1" s="1"/>
  <c r="AM214" i="1"/>
  <c r="AF222" i="1"/>
  <c r="AG222" i="1" s="1"/>
  <c r="AM222" i="1"/>
  <c r="AF230" i="1"/>
  <c r="AG230" i="1" s="1"/>
  <c r="AM230" i="1"/>
  <c r="AF238" i="1"/>
  <c r="AG238" i="1" s="1"/>
  <c r="AM238" i="1"/>
  <c r="AF246" i="1"/>
  <c r="AG246" i="1" s="1"/>
  <c r="AM246" i="1"/>
  <c r="AF254" i="1"/>
  <c r="AG254" i="1" s="1"/>
  <c r="AM254" i="1"/>
  <c r="AF262" i="1"/>
  <c r="AG262" i="1" s="1"/>
  <c r="AM262" i="1"/>
  <c r="AF270" i="1"/>
  <c r="AG270" i="1" s="1"/>
  <c r="AM270" i="1"/>
  <c r="AF278" i="1"/>
  <c r="AG278" i="1" s="1"/>
  <c r="AM278" i="1"/>
  <c r="AF286" i="1"/>
  <c r="AG286" i="1" s="1"/>
  <c r="AM286" i="1"/>
  <c r="AM15" i="1"/>
  <c r="AM111" i="1"/>
  <c r="AM175" i="1"/>
  <c r="AM239" i="1"/>
  <c r="AM240" i="1"/>
  <c r="AM145" i="1"/>
  <c r="AM220" i="1"/>
  <c r="AM229" i="1"/>
  <c r="AM72" i="1"/>
  <c r="AM152" i="1"/>
  <c r="AM216" i="1"/>
  <c r="AM153" i="1"/>
  <c r="AM131" i="1"/>
  <c r="AM212" i="1"/>
  <c r="AM161" i="1"/>
  <c r="AM284" i="1"/>
  <c r="AM11" i="1"/>
  <c r="AM123" i="1"/>
  <c r="AM189" i="1"/>
  <c r="AM60" i="1"/>
  <c r="AM140" i="1"/>
  <c r="AM205" i="1"/>
  <c r="AF66" i="1"/>
  <c r="AG66" i="1" s="1"/>
  <c r="AM66" i="1"/>
  <c r="AM7" i="1"/>
  <c r="AM224" i="1"/>
  <c r="AM144" i="1"/>
  <c r="AM3" i="1"/>
  <c r="AF30" i="1"/>
  <c r="AG30" i="1" s="1"/>
  <c r="AM30" i="1"/>
  <c r="AF46" i="1"/>
  <c r="AG46" i="1" s="1"/>
  <c r="AM46" i="1"/>
  <c r="AF70" i="1"/>
  <c r="AG70" i="1" s="1"/>
  <c r="AM70" i="1"/>
  <c r="AF134" i="1"/>
  <c r="AG134" i="1" s="1"/>
  <c r="AM134" i="1"/>
  <c r="AM23" i="1"/>
  <c r="AM119" i="1"/>
  <c r="AM183" i="1"/>
  <c r="AM247" i="1"/>
  <c r="AM256" i="1"/>
  <c r="AM169" i="1"/>
  <c r="AM2" i="1"/>
  <c r="AM276" i="1"/>
  <c r="AM261" i="1"/>
  <c r="AM96" i="1"/>
  <c r="AM160" i="1"/>
  <c r="AM232" i="1"/>
  <c r="AM177" i="1"/>
  <c r="AM163" i="1"/>
  <c r="AM228" i="1"/>
  <c r="AM285" i="1"/>
  <c r="AM209" i="1"/>
  <c r="AM29" i="1"/>
  <c r="AM19" i="1"/>
  <c r="AM147" i="1"/>
  <c r="AM237" i="1"/>
  <c r="AM68" i="1"/>
  <c r="AM148" i="1"/>
  <c r="AM253" i="1"/>
  <c r="AF10" i="1"/>
  <c r="AG10" i="1" s="1"/>
  <c r="AM10" i="1"/>
  <c r="AF18" i="1"/>
  <c r="AG18" i="1" s="1"/>
  <c r="AM18" i="1"/>
  <c r="AF138" i="1"/>
  <c r="AG138" i="1" s="1"/>
  <c r="AM138" i="1"/>
  <c r="AF178" i="1"/>
  <c r="AG178" i="1" s="1"/>
  <c r="AM178" i="1"/>
  <c r="AF186" i="1"/>
  <c r="AG186" i="1" s="1"/>
  <c r="AM186" i="1"/>
  <c r="AF202" i="1"/>
  <c r="AG202" i="1" s="1"/>
  <c r="AM202" i="1"/>
  <c r="AF218" i="1"/>
  <c r="AG218" i="1" s="1"/>
  <c r="AM218" i="1"/>
  <c r="AF234" i="1"/>
  <c r="AG234" i="1" s="1"/>
  <c r="AM234" i="1"/>
  <c r="AF242" i="1"/>
  <c r="AG242" i="1" s="1"/>
  <c r="AM242" i="1"/>
  <c r="AM103" i="1"/>
  <c r="AM64" i="1"/>
  <c r="AM208" i="1"/>
  <c r="AM115" i="1"/>
  <c r="AM107" i="1"/>
  <c r="AF14" i="1"/>
  <c r="AG14" i="1" s="1"/>
  <c r="AM14" i="1"/>
  <c r="AF22" i="1"/>
  <c r="AG22" i="1" s="1"/>
  <c r="AM22" i="1"/>
  <c r="AF102" i="1"/>
  <c r="AG102" i="1" s="1"/>
  <c r="AM102" i="1"/>
  <c r="AF118" i="1"/>
  <c r="AG118" i="1" s="1"/>
  <c r="AM118" i="1"/>
  <c r="AF126" i="1"/>
  <c r="AG126" i="1" s="1"/>
  <c r="AM126" i="1"/>
  <c r="AM31" i="1"/>
  <c r="AM127" i="1"/>
  <c r="AM191" i="1"/>
  <c r="AM255" i="1"/>
  <c r="AM272" i="1"/>
  <c r="AM185" i="1"/>
  <c r="AM139" i="1"/>
  <c r="AM21" i="1"/>
  <c r="AM8" i="1"/>
  <c r="AM104" i="1"/>
  <c r="AM168" i="1"/>
  <c r="AM248" i="1"/>
  <c r="AM201" i="1"/>
  <c r="AM179" i="1"/>
  <c r="AM268" i="1"/>
  <c r="AM9" i="1"/>
  <c r="AM265" i="1"/>
  <c r="AM93" i="1"/>
  <c r="AM35" i="1"/>
  <c r="AM187" i="1"/>
  <c r="AM277" i="1"/>
  <c r="AM92" i="1"/>
  <c r="AM164" i="1"/>
  <c r="AM6" i="1"/>
  <c r="AI9" i="1"/>
  <c r="AJ9" i="1" s="1"/>
  <c r="AK9" i="1"/>
  <c r="AO9" i="1" s="1"/>
  <c r="AI17" i="1"/>
  <c r="AJ17" i="1" s="1"/>
  <c r="AK17" i="1"/>
  <c r="AO17" i="1" s="1"/>
  <c r="AI25" i="1"/>
  <c r="AJ25" i="1" s="1"/>
  <c r="AK25" i="1"/>
  <c r="AO25" i="1" s="1"/>
  <c r="AI33" i="1"/>
  <c r="AJ33" i="1" s="1"/>
  <c r="AK33" i="1"/>
  <c r="AO33" i="1" s="1"/>
  <c r="AI41" i="1"/>
  <c r="AJ41" i="1" s="1"/>
  <c r="AK41" i="1"/>
  <c r="AO41" i="1" s="1"/>
  <c r="AI49" i="1"/>
  <c r="AJ49" i="1" s="1"/>
  <c r="AK49" i="1"/>
  <c r="AO49" i="1" s="1"/>
  <c r="AI57" i="1"/>
  <c r="AJ57" i="1" s="1"/>
  <c r="AK57" i="1"/>
  <c r="AO57" i="1" s="1"/>
  <c r="AI65" i="1"/>
  <c r="AJ65" i="1" s="1"/>
  <c r="AK65" i="1"/>
  <c r="AO65" i="1" s="1"/>
  <c r="AI70" i="1"/>
  <c r="AJ70" i="1" s="1"/>
  <c r="AK70" i="1"/>
  <c r="AO70" i="1" s="1"/>
  <c r="AI78" i="1"/>
  <c r="AJ78" i="1" s="1"/>
  <c r="AK78" i="1"/>
  <c r="AO78" i="1" s="1"/>
  <c r="AI86" i="1"/>
  <c r="AJ86" i="1" s="1"/>
  <c r="AK86" i="1"/>
  <c r="AO86" i="1" s="1"/>
  <c r="AI94" i="1"/>
  <c r="AJ94" i="1" s="1"/>
  <c r="AK94" i="1"/>
  <c r="AO94" i="1" s="1"/>
  <c r="AI102" i="1"/>
  <c r="AJ102" i="1" s="1"/>
  <c r="AK102" i="1"/>
  <c r="AO102" i="1" s="1"/>
  <c r="AI110" i="1"/>
  <c r="AJ110" i="1" s="1"/>
  <c r="AK110" i="1"/>
  <c r="AO110" i="1" s="1"/>
  <c r="AI118" i="1"/>
  <c r="AJ118" i="1" s="1"/>
  <c r="AK118" i="1"/>
  <c r="AO118" i="1" s="1"/>
  <c r="AI126" i="1"/>
  <c r="AJ126" i="1" s="1"/>
  <c r="AK126" i="1"/>
  <c r="AO126" i="1" s="1"/>
  <c r="AI134" i="1"/>
  <c r="AJ134" i="1" s="1"/>
  <c r="AK134" i="1"/>
  <c r="AO134" i="1" s="1"/>
  <c r="AI142" i="1"/>
  <c r="AJ142" i="1" s="1"/>
  <c r="AK142" i="1"/>
  <c r="AO142" i="1" s="1"/>
  <c r="AI150" i="1"/>
  <c r="AJ150" i="1" s="1"/>
  <c r="AK150" i="1"/>
  <c r="AO150" i="1" s="1"/>
  <c r="AI158" i="1"/>
  <c r="AJ158" i="1" s="1"/>
  <c r="AK158" i="1"/>
  <c r="AO158" i="1" s="1"/>
  <c r="AI166" i="1"/>
  <c r="AJ166" i="1" s="1"/>
  <c r="AK166" i="1"/>
  <c r="AO166" i="1" s="1"/>
  <c r="AI174" i="1"/>
  <c r="AJ174" i="1" s="1"/>
  <c r="AK174" i="1"/>
  <c r="AO174" i="1" s="1"/>
  <c r="AI182" i="1"/>
  <c r="AJ182" i="1" s="1"/>
  <c r="AK182" i="1"/>
  <c r="AO182" i="1" s="1"/>
  <c r="AI190" i="1"/>
  <c r="AJ190" i="1" s="1"/>
  <c r="AK190" i="1"/>
  <c r="AO190" i="1" s="1"/>
  <c r="AI198" i="1"/>
  <c r="AJ198" i="1" s="1"/>
  <c r="AK198" i="1"/>
  <c r="AO198" i="1" s="1"/>
  <c r="AI206" i="1"/>
  <c r="AJ206" i="1" s="1"/>
  <c r="AK206" i="1"/>
  <c r="AO206" i="1" s="1"/>
  <c r="AI214" i="1"/>
  <c r="AJ214" i="1" s="1"/>
  <c r="AK214" i="1"/>
  <c r="AO214" i="1" s="1"/>
  <c r="AI222" i="1"/>
  <c r="AJ222" i="1" s="1"/>
  <c r="AK222" i="1"/>
  <c r="AO222" i="1" s="1"/>
  <c r="AI230" i="1"/>
  <c r="AJ230" i="1" s="1"/>
  <c r="AK230" i="1"/>
  <c r="AO230" i="1" s="1"/>
  <c r="AI238" i="1"/>
  <c r="AJ238" i="1" s="1"/>
  <c r="AK238" i="1"/>
  <c r="AO238" i="1" s="1"/>
  <c r="AI246" i="1"/>
  <c r="AJ246" i="1" s="1"/>
  <c r="AK246" i="1"/>
  <c r="AO246" i="1" s="1"/>
  <c r="AI254" i="1"/>
  <c r="AJ254" i="1" s="1"/>
  <c r="AK254" i="1"/>
  <c r="AO254" i="1" s="1"/>
  <c r="AI262" i="1"/>
  <c r="AJ262" i="1" s="1"/>
  <c r="AK262" i="1"/>
  <c r="AO262" i="1" s="1"/>
  <c r="AI270" i="1"/>
  <c r="AJ270" i="1" s="1"/>
  <c r="AK270" i="1"/>
  <c r="AO270" i="1" s="1"/>
  <c r="AI278" i="1"/>
  <c r="AJ278" i="1" s="1"/>
  <c r="AK278" i="1"/>
  <c r="AO278" i="1" s="1"/>
  <c r="AI286" i="1"/>
  <c r="AJ286" i="1" s="1"/>
  <c r="AK286" i="1"/>
  <c r="AO286" i="1" s="1"/>
  <c r="AI28" i="1"/>
  <c r="AJ28" i="1" s="1"/>
  <c r="AK28" i="1"/>
  <c r="AO28" i="1" s="1"/>
  <c r="AI44" i="1"/>
  <c r="AJ44" i="1" s="1"/>
  <c r="AK44" i="1"/>
  <c r="AO44" i="1" s="1"/>
  <c r="AI52" i="1"/>
  <c r="AJ52" i="1" s="1"/>
  <c r="AK52" i="1"/>
  <c r="AO52" i="1" s="1"/>
  <c r="AI81" i="1"/>
  <c r="AJ81" i="1" s="1"/>
  <c r="AK81" i="1"/>
  <c r="AO81" i="1" s="1"/>
  <c r="AI89" i="1"/>
  <c r="AJ89" i="1" s="1"/>
  <c r="AK89" i="1"/>
  <c r="AO89" i="1" s="1"/>
  <c r="AI39" i="1"/>
  <c r="AJ39" i="1" s="1"/>
  <c r="AK39" i="1"/>
  <c r="AO39" i="1" s="1"/>
  <c r="AI244" i="1"/>
  <c r="AJ244" i="1" s="1"/>
  <c r="AK244" i="1"/>
  <c r="AO244" i="1" s="1"/>
  <c r="AI26" i="1"/>
  <c r="AJ26" i="1" s="1"/>
  <c r="AK26" i="1"/>
  <c r="AO26" i="1" s="1"/>
  <c r="AI42" i="1"/>
  <c r="AJ42" i="1" s="1"/>
  <c r="AK42" i="1"/>
  <c r="AO42" i="1" s="1"/>
  <c r="AI50" i="1"/>
  <c r="AJ50" i="1" s="1"/>
  <c r="AK50" i="1"/>
  <c r="AO50" i="1" s="1"/>
  <c r="AI79" i="1"/>
  <c r="AJ79" i="1" s="1"/>
  <c r="AK79" i="1"/>
  <c r="AO79" i="1" s="1"/>
  <c r="AI87" i="1"/>
  <c r="AJ87" i="1" s="1"/>
  <c r="AK87" i="1"/>
  <c r="AO87" i="1" s="1"/>
  <c r="AI159" i="1"/>
  <c r="AJ159" i="1" s="1"/>
  <c r="AK159" i="1"/>
  <c r="AO159" i="1" s="1"/>
  <c r="AI287" i="1"/>
  <c r="AJ287" i="1" s="1"/>
  <c r="AK287" i="1"/>
  <c r="AO287" i="1" s="1"/>
  <c r="AI84" i="1"/>
  <c r="AJ84" i="1" s="1"/>
  <c r="AK84" i="1"/>
  <c r="AO84" i="1" s="1"/>
  <c r="AI156" i="1"/>
  <c r="AJ156" i="1" s="1"/>
  <c r="AK156" i="1"/>
  <c r="AO156" i="1" s="1"/>
  <c r="AI45" i="1"/>
  <c r="AJ45" i="1" s="1"/>
  <c r="AK45" i="1"/>
  <c r="AO45" i="1" s="1"/>
  <c r="AI53" i="1"/>
  <c r="AJ53" i="1" s="1"/>
  <c r="AK53" i="1"/>
  <c r="AO53" i="1" s="1"/>
  <c r="AI82" i="1"/>
  <c r="AJ82" i="1" s="1"/>
  <c r="AK82" i="1"/>
  <c r="AO82" i="1" s="1"/>
  <c r="AI90" i="1"/>
  <c r="AJ90" i="1" s="1"/>
  <c r="AK90" i="1"/>
  <c r="AO90" i="1" s="1"/>
  <c r="AI154" i="1"/>
  <c r="AJ154" i="1" s="1"/>
  <c r="AK154" i="1"/>
  <c r="AO154" i="1" s="1"/>
  <c r="AI8" i="1"/>
  <c r="AJ8" i="1" s="1"/>
  <c r="AK8" i="1"/>
  <c r="AO8" i="1" s="1"/>
  <c r="AI16" i="1"/>
  <c r="AJ16" i="1" s="1"/>
  <c r="AK16" i="1"/>
  <c r="AO16" i="1" s="1"/>
  <c r="AI24" i="1"/>
  <c r="AJ24" i="1" s="1"/>
  <c r="AK24" i="1"/>
  <c r="AO24" i="1" s="1"/>
  <c r="AI32" i="1"/>
  <c r="AJ32" i="1" s="1"/>
  <c r="AK32" i="1"/>
  <c r="AO32" i="1" s="1"/>
  <c r="AI40" i="1"/>
  <c r="AJ40" i="1" s="1"/>
  <c r="AK40" i="1"/>
  <c r="AO40" i="1" s="1"/>
  <c r="AI48" i="1"/>
  <c r="AJ48" i="1" s="1"/>
  <c r="AK48" i="1"/>
  <c r="AO48" i="1" s="1"/>
  <c r="AI56" i="1"/>
  <c r="AJ56" i="1" s="1"/>
  <c r="AK56" i="1"/>
  <c r="AO56" i="1" s="1"/>
  <c r="AI64" i="1"/>
  <c r="AJ64" i="1" s="1"/>
  <c r="AK64" i="1"/>
  <c r="AO64" i="1" s="1"/>
  <c r="AI69" i="1"/>
  <c r="AJ69" i="1" s="1"/>
  <c r="AK69" i="1"/>
  <c r="AO69" i="1" s="1"/>
  <c r="AI77" i="1"/>
  <c r="AJ77" i="1" s="1"/>
  <c r="AK77" i="1"/>
  <c r="AO77" i="1" s="1"/>
  <c r="AI85" i="1"/>
  <c r="AJ85" i="1" s="1"/>
  <c r="AK85" i="1"/>
  <c r="AO85" i="1" s="1"/>
  <c r="AI93" i="1"/>
  <c r="AJ93" i="1" s="1"/>
  <c r="AK93" i="1"/>
  <c r="AO93" i="1" s="1"/>
  <c r="AI101" i="1"/>
  <c r="AJ101" i="1" s="1"/>
  <c r="AK101" i="1"/>
  <c r="AO101" i="1" s="1"/>
  <c r="AI109" i="1"/>
  <c r="AJ109" i="1" s="1"/>
  <c r="AK109" i="1"/>
  <c r="AO109" i="1" s="1"/>
  <c r="AI117" i="1"/>
  <c r="AJ117" i="1" s="1"/>
  <c r="AK117" i="1"/>
  <c r="AO117" i="1" s="1"/>
  <c r="AI125" i="1"/>
  <c r="AJ125" i="1" s="1"/>
  <c r="AK125" i="1"/>
  <c r="AO125" i="1" s="1"/>
  <c r="AI133" i="1"/>
  <c r="AJ133" i="1" s="1"/>
  <c r="AK133" i="1"/>
  <c r="AO133" i="1" s="1"/>
  <c r="AI141" i="1"/>
  <c r="AJ141" i="1" s="1"/>
  <c r="AK141" i="1"/>
  <c r="AO141" i="1" s="1"/>
  <c r="AI149" i="1"/>
  <c r="AJ149" i="1" s="1"/>
  <c r="AK149" i="1"/>
  <c r="AO149" i="1" s="1"/>
  <c r="AI157" i="1"/>
  <c r="AJ157" i="1" s="1"/>
  <c r="AK157" i="1"/>
  <c r="AO157" i="1" s="1"/>
  <c r="AI165" i="1"/>
  <c r="AJ165" i="1" s="1"/>
  <c r="AK165" i="1"/>
  <c r="AO165" i="1" s="1"/>
  <c r="AI173" i="1"/>
  <c r="AJ173" i="1" s="1"/>
  <c r="AK173" i="1"/>
  <c r="AO173" i="1" s="1"/>
  <c r="AI181" i="1"/>
  <c r="AJ181" i="1" s="1"/>
  <c r="AK181" i="1"/>
  <c r="AO181" i="1" s="1"/>
  <c r="AI189" i="1"/>
  <c r="AJ189" i="1" s="1"/>
  <c r="AK189" i="1"/>
  <c r="AO189" i="1" s="1"/>
  <c r="AI197" i="1"/>
  <c r="AJ197" i="1" s="1"/>
  <c r="AK197" i="1"/>
  <c r="AO197" i="1" s="1"/>
  <c r="AI205" i="1"/>
  <c r="AJ205" i="1" s="1"/>
  <c r="AK205" i="1"/>
  <c r="AO205" i="1" s="1"/>
  <c r="AI213" i="1"/>
  <c r="AJ213" i="1" s="1"/>
  <c r="AK213" i="1"/>
  <c r="AO213" i="1" s="1"/>
  <c r="AI221" i="1"/>
  <c r="AJ221" i="1" s="1"/>
  <c r="AK221" i="1"/>
  <c r="AO221" i="1" s="1"/>
  <c r="AI229" i="1"/>
  <c r="AJ229" i="1" s="1"/>
  <c r="AK229" i="1"/>
  <c r="AO229" i="1" s="1"/>
  <c r="AI237" i="1"/>
  <c r="AJ237" i="1" s="1"/>
  <c r="AK237" i="1"/>
  <c r="AO237" i="1" s="1"/>
  <c r="AI245" i="1"/>
  <c r="AJ245" i="1" s="1"/>
  <c r="AK245" i="1"/>
  <c r="AO245" i="1" s="1"/>
  <c r="AI253" i="1"/>
  <c r="AJ253" i="1" s="1"/>
  <c r="AK253" i="1"/>
  <c r="AO253" i="1" s="1"/>
  <c r="AI261" i="1"/>
  <c r="AJ261" i="1" s="1"/>
  <c r="AK261" i="1"/>
  <c r="AO261" i="1" s="1"/>
  <c r="AI269" i="1"/>
  <c r="AJ269" i="1" s="1"/>
  <c r="AK269" i="1"/>
  <c r="AO269" i="1" s="1"/>
  <c r="AI277" i="1"/>
  <c r="AJ277" i="1" s="1"/>
  <c r="AK277" i="1"/>
  <c r="AO277" i="1" s="1"/>
  <c r="AI76" i="1"/>
  <c r="AJ76" i="1" s="1"/>
  <c r="AK76" i="1"/>
  <c r="AO76" i="1" s="1"/>
  <c r="AI27" i="1"/>
  <c r="AJ27" i="1" s="1"/>
  <c r="AK27" i="1"/>
  <c r="AO27" i="1" s="1"/>
  <c r="AI43" i="1"/>
  <c r="AJ43" i="1" s="1"/>
  <c r="AK43" i="1"/>
  <c r="AO43" i="1" s="1"/>
  <c r="AI51" i="1"/>
  <c r="AJ51" i="1" s="1"/>
  <c r="AK51" i="1"/>
  <c r="AO51" i="1" s="1"/>
  <c r="AI80" i="1"/>
  <c r="AJ80" i="1" s="1"/>
  <c r="AK80" i="1"/>
  <c r="AO80" i="1" s="1"/>
  <c r="AI88" i="1"/>
  <c r="AJ88" i="1" s="1"/>
  <c r="AK88" i="1"/>
  <c r="AO88" i="1" s="1"/>
  <c r="AI288" i="1"/>
  <c r="AJ288" i="1" s="1"/>
  <c r="AK288" i="1"/>
  <c r="AO288" i="1" s="1"/>
  <c r="AI55" i="1"/>
  <c r="AJ55" i="1" s="1"/>
  <c r="AK55" i="1"/>
  <c r="AO55" i="1" s="1"/>
  <c r="AI38" i="1"/>
  <c r="AJ38" i="1" s="1"/>
  <c r="AK38" i="1"/>
  <c r="AO38" i="1" s="1"/>
  <c r="AI54" i="1"/>
  <c r="AJ54" i="1" s="1"/>
  <c r="AK54" i="1"/>
  <c r="AO54" i="1" s="1"/>
  <c r="AI75" i="1"/>
  <c r="AJ75" i="1" s="1"/>
  <c r="AK75" i="1"/>
  <c r="AO75" i="1" s="1"/>
  <c r="AI83" i="1"/>
  <c r="AJ83" i="1" s="1"/>
  <c r="AK83" i="1"/>
  <c r="AO83" i="1" s="1"/>
  <c r="AI91" i="1"/>
  <c r="AJ91" i="1" s="1"/>
  <c r="AK91" i="1"/>
  <c r="AO91" i="1" s="1"/>
  <c r="AI155" i="1"/>
  <c r="AJ155" i="1" s="1"/>
  <c r="AK155" i="1"/>
  <c r="AO155" i="1" s="1"/>
  <c r="AI243" i="1"/>
  <c r="AJ243" i="1" s="1"/>
  <c r="AK243" i="1"/>
  <c r="AO243" i="1" s="1"/>
  <c r="AI289" i="1"/>
  <c r="AJ289" i="1" s="1"/>
  <c r="AP289" i="1" s="1"/>
  <c r="AI10" i="1"/>
  <c r="AJ10" i="1" s="1"/>
  <c r="AP10" i="1" s="1"/>
  <c r="AI18" i="1"/>
  <c r="AJ18" i="1" s="1"/>
  <c r="AP18" i="1" s="1"/>
  <c r="AI34" i="1"/>
  <c r="AJ34" i="1" s="1"/>
  <c r="AP34" i="1" s="1"/>
  <c r="AI58" i="1"/>
  <c r="AJ58" i="1" s="1"/>
  <c r="AP58" i="1" s="1"/>
  <c r="AI66" i="1"/>
  <c r="AJ66" i="1" s="1"/>
  <c r="AP66" i="1" s="1"/>
  <c r="AI71" i="1"/>
  <c r="AJ71" i="1" s="1"/>
  <c r="AP71" i="1" s="1"/>
  <c r="AI95" i="1"/>
  <c r="AJ95" i="1" s="1"/>
  <c r="AP95" i="1" s="1"/>
  <c r="AI103" i="1"/>
  <c r="AJ103" i="1" s="1"/>
  <c r="AP103" i="1" s="1"/>
  <c r="AI111" i="1"/>
  <c r="AJ111" i="1" s="1"/>
  <c r="AP111" i="1" s="1"/>
  <c r="AI119" i="1"/>
  <c r="AJ119" i="1" s="1"/>
  <c r="AP119" i="1" s="1"/>
  <c r="AI127" i="1"/>
  <c r="AJ127" i="1" s="1"/>
  <c r="AP127" i="1" s="1"/>
  <c r="AI135" i="1"/>
  <c r="AJ135" i="1" s="1"/>
  <c r="AP135" i="1" s="1"/>
  <c r="AI143" i="1"/>
  <c r="AJ143" i="1" s="1"/>
  <c r="AP143" i="1" s="1"/>
  <c r="AI151" i="1"/>
  <c r="AJ151" i="1" s="1"/>
  <c r="AP151" i="1" s="1"/>
  <c r="AI167" i="1"/>
  <c r="AJ167" i="1" s="1"/>
  <c r="AP167" i="1" s="1"/>
  <c r="AI175" i="1"/>
  <c r="AJ175" i="1" s="1"/>
  <c r="AP175" i="1" s="1"/>
  <c r="AI183" i="1"/>
  <c r="AJ183" i="1" s="1"/>
  <c r="AP183" i="1" s="1"/>
  <c r="AI285" i="1"/>
  <c r="AJ285" i="1" s="1"/>
  <c r="AP285" i="1" s="1"/>
  <c r="AI6" i="1"/>
  <c r="AJ6" i="1" s="1"/>
  <c r="AP6" i="1" s="1"/>
  <c r="AI14" i="1"/>
  <c r="AJ14" i="1" s="1"/>
  <c r="AP14" i="1" s="1"/>
  <c r="AI22" i="1"/>
  <c r="AJ22" i="1" s="1"/>
  <c r="AP22" i="1" s="1"/>
  <c r="AI30" i="1"/>
  <c r="AJ30" i="1" s="1"/>
  <c r="AP30" i="1" s="1"/>
  <c r="AI46" i="1"/>
  <c r="AJ46" i="1" s="1"/>
  <c r="AP46" i="1" s="1"/>
  <c r="AI62" i="1"/>
  <c r="AJ62" i="1" s="1"/>
  <c r="AP62" i="1" s="1"/>
  <c r="AI67" i="1"/>
  <c r="AJ67" i="1" s="1"/>
  <c r="AP67" i="1" s="1"/>
  <c r="AI99" i="1"/>
  <c r="AJ99" i="1" s="1"/>
  <c r="AP99" i="1" s="1"/>
  <c r="AI107" i="1"/>
  <c r="AJ107" i="1" s="1"/>
  <c r="AP107" i="1" s="1"/>
  <c r="AI115" i="1"/>
  <c r="AJ115" i="1" s="1"/>
  <c r="AP115" i="1" s="1"/>
  <c r="AI123" i="1"/>
  <c r="AJ123" i="1" s="1"/>
  <c r="AP123" i="1" s="1"/>
  <c r="AI131" i="1"/>
  <c r="AJ131" i="1" s="1"/>
  <c r="AP131" i="1" s="1"/>
  <c r="AI139" i="1"/>
  <c r="AJ139" i="1" s="1"/>
  <c r="AP139" i="1" s="1"/>
  <c r="AI147" i="1"/>
  <c r="AJ147" i="1" s="1"/>
  <c r="AP147" i="1" s="1"/>
  <c r="AI163" i="1"/>
  <c r="AJ163" i="1" s="1"/>
  <c r="AP163" i="1" s="1"/>
  <c r="AI171" i="1"/>
  <c r="AJ171" i="1" s="1"/>
  <c r="AP171" i="1" s="1"/>
  <c r="AI179" i="1"/>
  <c r="AJ179" i="1" s="1"/>
  <c r="AP179" i="1" s="1"/>
  <c r="AI187" i="1"/>
  <c r="AJ187" i="1" s="1"/>
  <c r="AP187" i="1" s="1"/>
  <c r="AI195" i="1"/>
  <c r="AJ195" i="1" s="1"/>
  <c r="AP195" i="1" s="1"/>
  <c r="AI203" i="1"/>
  <c r="AJ203" i="1" s="1"/>
  <c r="AP203" i="1" s="1"/>
  <c r="AI211" i="1"/>
  <c r="AJ211" i="1" s="1"/>
  <c r="AP211" i="1" s="1"/>
  <c r="AI219" i="1"/>
  <c r="AJ219" i="1" s="1"/>
  <c r="AP219" i="1" s="1"/>
  <c r="AI227" i="1"/>
  <c r="AJ227" i="1" s="1"/>
  <c r="AP227" i="1" s="1"/>
  <c r="AI235" i="1"/>
  <c r="AJ235" i="1" s="1"/>
  <c r="AP235" i="1" s="1"/>
  <c r="AI251" i="1"/>
  <c r="AJ251" i="1" s="1"/>
  <c r="AP251" i="1" s="1"/>
  <c r="AI259" i="1"/>
  <c r="AJ259" i="1" s="1"/>
  <c r="AP259" i="1" s="1"/>
  <c r="AI267" i="1"/>
  <c r="AJ267" i="1" s="1"/>
  <c r="AP267" i="1" s="1"/>
  <c r="AI275" i="1"/>
  <c r="AJ275" i="1" s="1"/>
  <c r="AP275" i="1" s="1"/>
  <c r="AI283" i="1"/>
  <c r="AJ283" i="1" s="1"/>
  <c r="AP283" i="1" s="1"/>
  <c r="AI4" i="1"/>
  <c r="AJ4" i="1" s="1"/>
  <c r="AP4" i="1" s="1"/>
  <c r="AI12" i="1"/>
  <c r="AJ12" i="1" s="1"/>
  <c r="AP12" i="1" s="1"/>
  <c r="AI20" i="1"/>
  <c r="AJ20" i="1" s="1"/>
  <c r="AP20" i="1" s="1"/>
  <c r="AI36" i="1"/>
  <c r="AJ36" i="1" s="1"/>
  <c r="AP36" i="1" s="1"/>
  <c r="AI60" i="1"/>
  <c r="AJ60" i="1" s="1"/>
  <c r="AP60" i="1" s="1"/>
  <c r="AI73" i="1"/>
  <c r="AJ73" i="1" s="1"/>
  <c r="AP73" i="1" s="1"/>
  <c r="AI97" i="1"/>
  <c r="AJ97" i="1" s="1"/>
  <c r="AP97" i="1" s="1"/>
  <c r="AI105" i="1"/>
  <c r="AJ105" i="1" s="1"/>
  <c r="AP105" i="1" s="1"/>
  <c r="AI113" i="1"/>
  <c r="AJ113" i="1" s="1"/>
  <c r="AP113" i="1" s="1"/>
  <c r="AI121" i="1"/>
  <c r="AJ121" i="1" s="1"/>
  <c r="AP121" i="1" s="1"/>
  <c r="AI129" i="1"/>
  <c r="AJ129" i="1" s="1"/>
  <c r="AP129" i="1" s="1"/>
  <c r="AI137" i="1"/>
  <c r="AJ137" i="1" s="1"/>
  <c r="AP137" i="1" s="1"/>
  <c r="AI145" i="1"/>
  <c r="AJ145" i="1" s="1"/>
  <c r="AP145" i="1" s="1"/>
  <c r="AI153" i="1"/>
  <c r="AJ153" i="1" s="1"/>
  <c r="AP153" i="1" s="1"/>
  <c r="AI161" i="1"/>
  <c r="AJ161" i="1" s="1"/>
  <c r="AP161" i="1" s="1"/>
  <c r="AI169" i="1"/>
  <c r="AJ169" i="1" s="1"/>
  <c r="AP169" i="1" s="1"/>
  <c r="AI177" i="1"/>
  <c r="AJ177" i="1" s="1"/>
  <c r="AP177" i="1" s="1"/>
  <c r="AI185" i="1"/>
  <c r="AJ185" i="1" s="1"/>
  <c r="AP185" i="1" s="1"/>
  <c r="AI193" i="1"/>
  <c r="AJ193" i="1" s="1"/>
  <c r="AP193" i="1" s="1"/>
  <c r="AI201" i="1"/>
  <c r="AJ201" i="1" s="1"/>
  <c r="AP201" i="1" s="1"/>
  <c r="AI209" i="1"/>
  <c r="AJ209" i="1" s="1"/>
  <c r="AP209" i="1" s="1"/>
  <c r="AI217" i="1"/>
  <c r="AJ217" i="1" s="1"/>
  <c r="AP217" i="1" s="1"/>
  <c r="AI225" i="1"/>
  <c r="AJ225" i="1" s="1"/>
  <c r="AP225" i="1" s="1"/>
  <c r="AI233" i="1"/>
  <c r="AJ233" i="1" s="1"/>
  <c r="AP233" i="1" s="1"/>
  <c r="AI241" i="1"/>
  <c r="AJ241" i="1" s="1"/>
  <c r="AP241" i="1" s="1"/>
  <c r="AI249" i="1"/>
  <c r="AJ249" i="1" s="1"/>
  <c r="AP249" i="1" s="1"/>
  <c r="AI257" i="1"/>
  <c r="AJ257" i="1" s="1"/>
  <c r="AP257" i="1" s="1"/>
  <c r="AI265" i="1"/>
  <c r="AJ265" i="1" s="1"/>
  <c r="AP265" i="1" s="1"/>
  <c r="AI273" i="1"/>
  <c r="AJ273" i="1" s="1"/>
  <c r="AP273" i="1" s="1"/>
  <c r="AI281" i="1"/>
  <c r="AJ281" i="1" s="1"/>
  <c r="AP281" i="1" s="1"/>
  <c r="AI7" i="1"/>
  <c r="AJ7" i="1" s="1"/>
  <c r="AP7" i="1" s="1"/>
  <c r="AI15" i="1"/>
  <c r="AJ15" i="1" s="1"/>
  <c r="AP15" i="1" s="1"/>
  <c r="AI23" i="1"/>
  <c r="AJ23" i="1" s="1"/>
  <c r="AP23" i="1" s="1"/>
  <c r="AI31" i="1"/>
  <c r="AJ31" i="1" s="1"/>
  <c r="AP31" i="1" s="1"/>
  <c r="AI47" i="1"/>
  <c r="AJ47" i="1" s="1"/>
  <c r="AP47" i="1" s="1"/>
  <c r="AI63" i="1"/>
  <c r="AJ63" i="1" s="1"/>
  <c r="AP63" i="1" s="1"/>
  <c r="AI68" i="1"/>
  <c r="AJ68" i="1" s="1"/>
  <c r="AP68" i="1" s="1"/>
  <c r="AI92" i="1"/>
  <c r="AJ92" i="1" s="1"/>
  <c r="AP92" i="1" s="1"/>
  <c r="AI100" i="1"/>
  <c r="AJ100" i="1" s="1"/>
  <c r="AP100" i="1" s="1"/>
  <c r="AI108" i="1"/>
  <c r="AJ108" i="1" s="1"/>
  <c r="AP108" i="1" s="1"/>
  <c r="AI116" i="1"/>
  <c r="AJ116" i="1" s="1"/>
  <c r="AP116" i="1" s="1"/>
  <c r="AI124" i="1"/>
  <c r="AJ124" i="1" s="1"/>
  <c r="AP124" i="1" s="1"/>
  <c r="AI132" i="1"/>
  <c r="AJ132" i="1" s="1"/>
  <c r="AP132" i="1" s="1"/>
  <c r="AI140" i="1"/>
  <c r="AJ140" i="1" s="1"/>
  <c r="AP140" i="1" s="1"/>
  <c r="AI148" i="1"/>
  <c r="AJ148" i="1" s="1"/>
  <c r="AP148" i="1" s="1"/>
  <c r="AI164" i="1"/>
  <c r="AJ164" i="1" s="1"/>
  <c r="AP164" i="1" s="1"/>
  <c r="AI172" i="1"/>
  <c r="AJ172" i="1" s="1"/>
  <c r="AP172" i="1" s="1"/>
  <c r="AI180" i="1"/>
  <c r="AJ180" i="1" s="1"/>
  <c r="AP180" i="1" s="1"/>
  <c r="AI188" i="1"/>
  <c r="AJ188" i="1" s="1"/>
  <c r="AP188" i="1" s="1"/>
  <c r="AI196" i="1"/>
  <c r="AJ196" i="1" s="1"/>
  <c r="AP196" i="1" s="1"/>
  <c r="AI204" i="1"/>
  <c r="AJ204" i="1" s="1"/>
  <c r="AP204" i="1" s="1"/>
  <c r="AI212" i="1"/>
  <c r="AJ212" i="1" s="1"/>
  <c r="AP212" i="1" s="1"/>
  <c r="AI220" i="1"/>
  <c r="AJ220" i="1" s="1"/>
  <c r="AP220" i="1" s="1"/>
  <c r="AI228" i="1"/>
  <c r="AJ228" i="1" s="1"/>
  <c r="AP228" i="1" s="1"/>
  <c r="AI236" i="1"/>
  <c r="AJ236" i="1" s="1"/>
  <c r="AP236" i="1" s="1"/>
  <c r="AI252" i="1"/>
  <c r="AJ252" i="1" s="1"/>
  <c r="AP252" i="1" s="1"/>
  <c r="AI260" i="1"/>
  <c r="AJ260" i="1" s="1"/>
  <c r="AP260" i="1" s="1"/>
  <c r="AI268" i="1"/>
  <c r="AJ268" i="1" s="1"/>
  <c r="AP268" i="1" s="1"/>
  <c r="AI276" i="1"/>
  <c r="AJ276" i="1" s="1"/>
  <c r="AP276" i="1" s="1"/>
  <c r="AI284" i="1"/>
  <c r="AJ284" i="1" s="1"/>
  <c r="AP284" i="1" s="1"/>
  <c r="AI191" i="1"/>
  <c r="AJ191" i="1" s="1"/>
  <c r="AP191" i="1" s="1"/>
  <c r="AI199" i="1"/>
  <c r="AJ199" i="1" s="1"/>
  <c r="AP199" i="1" s="1"/>
  <c r="AI207" i="1"/>
  <c r="AJ207" i="1" s="1"/>
  <c r="AP207" i="1" s="1"/>
  <c r="AI215" i="1"/>
  <c r="AJ215" i="1" s="1"/>
  <c r="AP215" i="1" s="1"/>
  <c r="AI223" i="1"/>
  <c r="AJ223" i="1" s="1"/>
  <c r="AP223" i="1" s="1"/>
  <c r="AI231" i="1"/>
  <c r="AJ231" i="1" s="1"/>
  <c r="AP231" i="1" s="1"/>
  <c r="AI239" i="1"/>
  <c r="AJ239" i="1" s="1"/>
  <c r="AP239" i="1" s="1"/>
  <c r="AI247" i="1"/>
  <c r="AJ247" i="1" s="1"/>
  <c r="AP247" i="1" s="1"/>
  <c r="AI255" i="1"/>
  <c r="AJ255" i="1" s="1"/>
  <c r="AP255" i="1" s="1"/>
  <c r="AI263" i="1"/>
  <c r="AJ263" i="1" s="1"/>
  <c r="AP263" i="1" s="1"/>
  <c r="AI271" i="1"/>
  <c r="AJ271" i="1" s="1"/>
  <c r="AP271" i="1" s="1"/>
  <c r="AI279" i="1"/>
  <c r="AJ279" i="1" s="1"/>
  <c r="AP279" i="1" s="1"/>
  <c r="AI5" i="1"/>
  <c r="AJ5" i="1" s="1"/>
  <c r="AP5" i="1" s="1"/>
  <c r="AI13" i="1"/>
  <c r="AJ13" i="1" s="1"/>
  <c r="AP13" i="1" s="1"/>
  <c r="AI21" i="1"/>
  <c r="AJ21" i="1" s="1"/>
  <c r="AP21" i="1" s="1"/>
  <c r="AI29" i="1"/>
  <c r="AJ29" i="1" s="1"/>
  <c r="AP29" i="1" s="1"/>
  <c r="AI37" i="1"/>
  <c r="AJ37" i="1" s="1"/>
  <c r="AP37" i="1" s="1"/>
  <c r="AI61" i="1"/>
  <c r="AJ61" i="1" s="1"/>
  <c r="AP61" i="1" s="1"/>
  <c r="AI74" i="1"/>
  <c r="AJ74" i="1" s="1"/>
  <c r="AP74" i="1" s="1"/>
  <c r="AI98" i="1"/>
  <c r="AJ98" i="1" s="1"/>
  <c r="AP98" i="1" s="1"/>
  <c r="AI106" i="1"/>
  <c r="AJ106" i="1" s="1"/>
  <c r="AP106" i="1" s="1"/>
  <c r="AI114" i="1"/>
  <c r="AJ114" i="1" s="1"/>
  <c r="AP114" i="1" s="1"/>
  <c r="AI122" i="1"/>
  <c r="AJ122" i="1" s="1"/>
  <c r="AP122" i="1" s="1"/>
  <c r="AI130" i="1"/>
  <c r="AJ130" i="1" s="1"/>
  <c r="AP130" i="1" s="1"/>
  <c r="AI138" i="1"/>
  <c r="AJ138" i="1" s="1"/>
  <c r="AP138" i="1" s="1"/>
  <c r="AI146" i="1"/>
  <c r="AJ146" i="1" s="1"/>
  <c r="AP146" i="1" s="1"/>
  <c r="AI162" i="1"/>
  <c r="AJ162" i="1" s="1"/>
  <c r="AP162" i="1" s="1"/>
  <c r="AI170" i="1"/>
  <c r="AJ170" i="1" s="1"/>
  <c r="AP170" i="1" s="1"/>
  <c r="AI178" i="1"/>
  <c r="AJ178" i="1" s="1"/>
  <c r="AP178" i="1" s="1"/>
  <c r="AI186" i="1"/>
  <c r="AJ186" i="1" s="1"/>
  <c r="AP186" i="1" s="1"/>
  <c r="AI194" i="1"/>
  <c r="AJ194" i="1" s="1"/>
  <c r="AP194" i="1" s="1"/>
  <c r="AI202" i="1"/>
  <c r="AJ202" i="1" s="1"/>
  <c r="AP202" i="1" s="1"/>
  <c r="AI210" i="1"/>
  <c r="AJ210" i="1" s="1"/>
  <c r="AP210" i="1" s="1"/>
  <c r="AI218" i="1"/>
  <c r="AJ218" i="1" s="1"/>
  <c r="AP218" i="1" s="1"/>
  <c r="AI226" i="1"/>
  <c r="AJ226" i="1" s="1"/>
  <c r="AP226" i="1" s="1"/>
  <c r="AI234" i="1"/>
  <c r="AJ234" i="1" s="1"/>
  <c r="AP234" i="1" s="1"/>
  <c r="AI242" i="1"/>
  <c r="AJ242" i="1" s="1"/>
  <c r="AP242" i="1" s="1"/>
  <c r="AI250" i="1"/>
  <c r="AJ250" i="1" s="1"/>
  <c r="AP250" i="1" s="1"/>
  <c r="AI258" i="1"/>
  <c r="AJ258" i="1" s="1"/>
  <c r="AP258" i="1" s="1"/>
  <c r="AI266" i="1"/>
  <c r="AJ266" i="1" s="1"/>
  <c r="AP266" i="1" s="1"/>
  <c r="AI274" i="1"/>
  <c r="AJ274" i="1" s="1"/>
  <c r="AP274" i="1" s="1"/>
  <c r="AI282" i="1"/>
  <c r="AJ282" i="1" s="1"/>
  <c r="AP282" i="1" s="1"/>
  <c r="AI3" i="1"/>
  <c r="AJ3" i="1" s="1"/>
  <c r="AP3" i="1" s="1"/>
  <c r="AI11" i="1"/>
  <c r="AJ11" i="1" s="1"/>
  <c r="AP11" i="1" s="1"/>
  <c r="AI19" i="1"/>
  <c r="AJ19" i="1" s="1"/>
  <c r="AP19" i="1" s="1"/>
  <c r="AI35" i="1"/>
  <c r="AJ35" i="1" s="1"/>
  <c r="AP35" i="1" s="1"/>
  <c r="AI59" i="1"/>
  <c r="AJ59" i="1" s="1"/>
  <c r="AP59" i="1" s="1"/>
  <c r="AI72" i="1"/>
  <c r="AJ72" i="1" s="1"/>
  <c r="AP72" i="1" s="1"/>
  <c r="AI96" i="1"/>
  <c r="AJ96" i="1" s="1"/>
  <c r="AP96" i="1" s="1"/>
  <c r="AI104" i="1"/>
  <c r="AJ104" i="1" s="1"/>
  <c r="AP104" i="1" s="1"/>
  <c r="AI112" i="1"/>
  <c r="AJ112" i="1" s="1"/>
  <c r="AP112" i="1" s="1"/>
  <c r="AI120" i="1"/>
  <c r="AJ120" i="1" s="1"/>
  <c r="AP120" i="1" s="1"/>
  <c r="AI128" i="1"/>
  <c r="AJ128" i="1" s="1"/>
  <c r="AP128" i="1" s="1"/>
  <c r="AI136" i="1"/>
  <c r="AJ136" i="1" s="1"/>
  <c r="AP136" i="1" s="1"/>
  <c r="AI144" i="1"/>
  <c r="AJ144" i="1" s="1"/>
  <c r="AP144" i="1" s="1"/>
  <c r="AI152" i="1"/>
  <c r="AJ152" i="1" s="1"/>
  <c r="AP152" i="1" s="1"/>
  <c r="AI160" i="1"/>
  <c r="AJ160" i="1" s="1"/>
  <c r="AP160" i="1" s="1"/>
  <c r="AI168" i="1"/>
  <c r="AJ168" i="1" s="1"/>
  <c r="AP168" i="1" s="1"/>
  <c r="AI176" i="1"/>
  <c r="AJ176" i="1" s="1"/>
  <c r="AP176" i="1" s="1"/>
  <c r="AI184" i="1"/>
  <c r="AJ184" i="1" s="1"/>
  <c r="AP184" i="1" s="1"/>
  <c r="AI192" i="1"/>
  <c r="AJ192" i="1" s="1"/>
  <c r="AP192" i="1" s="1"/>
  <c r="AI200" i="1"/>
  <c r="AJ200" i="1" s="1"/>
  <c r="AP200" i="1" s="1"/>
  <c r="AI208" i="1"/>
  <c r="AJ208" i="1" s="1"/>
  <c r="AP208" i="1" s="1"/>
  <c r="AI216" i="1"/>
  <c r="AJ216" i="1" s="1"/>
  <c r="AP216" i="1" s="1"/>
  <c r="AI224" i="1"/>
  <c r="AJ224" i="1" s="1"/>
  <c r="AP224" i="1" s="1"/>
  <c r="AI232" i="1"/>
  <c r="AJ232" i="1" s="1"/>
  <c r="AP232" i="1" s="1"/>
  <c r="AI240" i="1"/>
  <c r="AJ240" i="1" s="1"/>
  <c r="AP240" i="1" s="1"/>
  <c r="AI248" i="1"/>
  <c r="AJ248" i="1" s="1"/>
  <c r="AP248" i="1" s="1"/>
  <c r="AI256" i="1"/>
  <c r="AJ256" i="1" s="1"/>
  <c r="AP256" i="1" s="1"/>
  <c r="AI264" i="1"/>
  <c r="AJ264" i="1" s="1"/>
  <c r="AP264" i="1" s="1"/>
  <c r="AI272" i="1"/>
  <c r="AJ272" i="1" s="1"/>
  <c r="AP272" i="1" s="1"/>
  <c r="AI280" i="1"/>
  <c r="AJ280" i="1" s="1"/>
  <c r="AP280" i="1" s="1"/>
  <c r="AP221" i="1" l="1"/>
  <c r="AP189" i="1"/>
  <c r="AP157" i="1"/>
  <c r="AP125" i="1"/>
  <c r="AP64" i="1"/>
  <c r="AP32" i="1"/>
  <c r="AP154" i="1"/>
  <c r="AP45" i="1"/>
  <c r="AP159" i="1"/>
  <c r="AP42" i="1"/>
  <c r="AP89" i="1"/>
  <c r="AP28" i="1"/>
  <c r="AP262" i="1"/>
  <c r="AP230" i="1"/>
  <c r="AP198" i="1"/>
  <c r="AP166" i="1"/>
  <c r="AP134" i="1"/>
  <c r="AP102" i="1"/>
  <c r="AP70" i="1"/>
  <c r="AP155" i="1"/>
  <c r="AP54" i="1"/>
  <c r="AP88" i="1"/>
  <c r="AP27" i="1"/>
  <c r="AP91" i="1"/>
  <c r="AP38" i="1"/>
  <c r="AP80" i="1"/>
  <c r="AP76" i="1"/>
  <c r="AP253" i="1"/>
  <c r="AP93" i="1"/>
  <c r="AP41" i="1"/>
  <c r="AP83" i="1"/>
  <c r="AP55" i="1"/>
  <c r="AP51" i="1"/>
  <c r="AP277" i="1"/>
  <c r="AP245" i="1"/>
  <c r="AP213" i="1"/>
  <c r="AP181" i="1"/>
  <c r="AP149" i="1"/>
  <c r="AP117" i="1"/>
  <c r="AP85" i="1"/>
  <c r="AP261" i="1"/>
  <c r="AP229" i="1"/>
  <c r="AP197" i="1"/>
  <c r="AP165" i="1"/>
  <c r="AP133" i="1"/>
  <c r="AP101" i="1"/>
  <c r="AP69" i="1"/>
  <c r="AP9" i="1"/>
  <c r="AP40" i="1"/>
  <c r="AP8" i="1"/>
  <c r="AP53" i="1"/>
  <c r="AP287" i="1"/>
  <c r="AP50" i="1"/>
  <c r="AP39" i="1"/>
  <c r="AP44" i="1"/>
  <c r="AP270" i="1"/>
  <c r="AP238" i="1"/>
  <c r="AP206" i="1"/>
  <c r="AP174" i="1"/>
  <c r="AP142" i="1"/>
  <c r="AP110" i="1"/>
  <c r="AP78" i="1"/>
  <c r="AP49" i="1"/>
  <c r="AP17" i="1"/>
  <c r="AP56" i="1"/>
  <c r="AP24" i="1"/>
  <c r="AP90" i="1"/>
  <c r="AP156" i="1"/>
  <c r="AP87" i="1"/>
  <c r="AP26" i="1"/>
  <c r="AP81" i="1"/>
  <c r="AP286" i="1"/>
  <c r="AP254" i="1"/>
  <c r="AP222" i="1"/>
  <c r="AP190" i="1"/>
  <c r="AP158" i="1"/>
  <c r="AP126" i="1"/>
  <c r="AP94" i="1"/>
  <c r="AP65" i="1"/>
  <c r="AP33" i="1"/>
  <c r="AP243" i="1"/>
  <c r="AP75" i="1"/>
  <c r="AP288" i="1"/>
  <c r="AP43" i="1"/>
  <c r="AP269" i="1"/>
  <c r="AP237" i="1"/>
  <c r="AP205" i="1"/>
  <c r="AP173" i="1"/>
  <c r="AP141" i="1"/>
  <c r="AP109" i="1"/>
  <c r="AP77" i="1"/>
  <c r="AP48" i="1"/>
  <c r="AP16" i="1"/>
  <c r="AP82" i="1"/>
  <c r="AP84" i="1"/>
  <c r="AP79" i="1"/>
  <c r="AP244" i="1"/>
  <c r="AP52" i="1"/>
  <c r="AP278" i="1"/>
  <c r="AP246" i="1"/>
  <c r="AP214" i="1"/>
  <c r="AP182" i="1"/>
  <c r="AP150" i="1"/>
  <c r="AP118" i="1"/>
  <c r="AP86" i="1"/>
  <c r="AP57" i="1"/>
  <c r="AP25" i="1"/>
  <c r="AI2" i="1"/>
  <c r="AJ2" i="1" s="1"/>
  <c r="AP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Porta Rodriguez, Camila</author>
    <author>Aquino Ynga, Kelvin</author>
  </authors>
  <commentList>
    <comment ref="AI1" authorId="0" shapeId="0" xr:uid="{10EF7CDD-293E-4F65-B851-BBE4B28A3B56}">
      <text>
        <r>
          <rPr>
            <sz val="9"/>
            <color indexed="81"/>
            <rFont val="Tahoma"/>
            <charset val="1"/>
          </rPr>
          <t xml:space="preserve">Margen si no se le paga nada al cliente.
</t>
        </r>
      </text>
    </comment>
    <comment ref="AJ1" authorId="1" shapeId="0" xr:uid="{F4150C25-C46B-4EEA-83CF-E23D50943977}">
      <text>
        <r>
          <rPr>
            <b/>
            <sz val="9"/>
            <color indexed="81"/>
            <rFont val="Tahoma"/>
            <family val="2"/>
          </rPr>
          <t>Margen real dejado por el cliente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<sst xmlns="http://schemas.openxmlformats.org/spreadsheetml/2006/main" count="3498" uniqueCount="531">
  <si>
    <t>PERIODO</t>
  </si>
  <si>
    <t>FECHA</t>
  </si>
  <si>
    <t>CODUNICOCLI</t>
  </si>
  <si>
    <t>BANCA_PDT</t>
  </si>
  <si>
    <t>ZONAL_PDT</t>
  </si>
  <si>
    <t>ZONAL</t>
  </si>
  <si>
    <t>ENCARGADO_PDT</t>
  </si>
  <si>
    <t>MONEDA_PA</t>
  </si>
  <si>
    <t>APERTURA</t>
  </si>
  <si>
    <t>PRODUCTO</t>
  </si>
  <si>
    <t>MONEDA_CUENTA</t>
  </si>
  <si>
    <t>REMUNERA</t>
  </si>
  <si>
    <t>SAL_PROM_SOL</t>
  </si>
  <si>
    <t>SAL_PUNT_SOL</t>
  </si>
  <si>
    <t>TASA_FTP</t>
  </si>
  <si>
    <t>SALDO_PROM_CORREGIDO</t>
  </si>
  <si>
    <t>TASA_INT</t>
  </si>
  <si>
    <t>T_SPREAD</t>
  </si>
  <si>
    <t>FTP2</t>
  </si>
  <si>
    <t>INT_REAL</t>
  </si>
  <si>
    <t>SPREAD</t>
  </si>
  <si>
    <t>FSD_SOL</t>
  </si>
  <si>
    <t>MARGEN_FSD</t>
  </si>
  <si>
    <t>DIAS</t>
  </si>
  <si>
    <t>FLAG_MES_COMPLETO</t>
  </si>
  <si>
    <t>COMPROMISO</t>
  </si>
  <si>
    <t>COMENTARIO</t>
  </si>
  <si>
    <t>FECHA_CARGA</t>
  </si>
  <si>
    <t>CUMPLIMIENTO</t>
  </si>
  <si>
    <t>BEL</t>
  </si>
  <si>
    <t>BEL ZONAL 1</t>
  </si>
  <si>
    <t>PSS</t>
  </si>
  <si>
    <t>NULL</t>
  </si>
  <si>
    <t>VISTA</t>
  </si>
  <si>
    <t>USD</t>
  </si>
  <si>
    <t>BEL ZONAL 2</t>
  </si>
  <si>
    <t>BC</t>
  </si>
  <si>
    <t>BC GRUPO 2</t>
  </si>
  <si>
    <t>BC GRUPO 1</t>
  </si>
  <si>
    <t>NEGOCIO PJ</t>
  </si>
  <si>
    <t>BEL ZONAL 3</t>
  </si>
  <si>
    <t>AHORRO</t>
  </si>
  <si>
    <t>BEP</t>
  </si>
  <si>
    <t>BEP ZONAL 2</t>
  </si>
  <si>
    <t>Sí</t>
  </si>
  <si>
    <t>Saldo Compromiso</t>
  </si>
  <si>
    <t>Saldo Total</t>
  </si>
  <si>
    <t>BEP ZONAL 3</t>
  </si>
  <si>
    <t>BEP ZONAL 1</t>
  </si>
  <si>
    <t>LIMA GAS</t>
  </si>
  <si>
    <t>LUZ DEL SUR</t>
  </si>
  <si>
    <t>PAT EN FID D LEG N 861 NO INS EN LA SMV</t>
  </si>
  <si>
    <t>ARES PERU</t>
  </si>
  <si>
    <t>IBER RENT</t>
  </si>
  <si>
    <t>ONZA PERU</t>
  </si>
  <si>
    <t>FTP_DIARIO</t>
  </si>
  <si>
    <t>TEA DIARIA</t>
  </si>
  <si>
    <t>REAL_FTP_MONTO</t>
  </si>
  <si>
    <t>REAL_MARGEN(FTP - Int)</t>
  </si>
  <si>
    <t>PROYECTADO_FTP_MONTO</t>
  </si>
  <si>
    <t>REAL_INTERES</t>
  </si>
  <si>
    <t>PROYECCION_INTERES</t>
  </si>
  <si>
    <t>PROYECCION_MARGEN(FTP - Int compromiso)</t>
  </si>
  <si>
    <t>Ganancia con proyecto</t>
  </si>
  <si>
    <t>Cumplio</t>
  </si>
  <si>
    <t>Nbr</t>
  </si>
  <si>
    <t>YOHE*** YOSH***** HERM****</t>
  </si>
  <si>
    <t>GULD* &amp; CIA</t>
  </si>
  <si>
    <t>.LEC** GLOR**</t>
  </si>
  <si>
    <t>CORP******* PERU*** DE PROD***** QUIM***</t>
  </si>
  <si>
    <t>SIMA IQUI***</t>
  </si>
  <si>
    <t>EMPR*** REGI**** DE SERV**** PUBL*** DE</t>
  </si>
  <si>
    <t>ELEC*** ORIE***</t>
  </si>
  <si>
    <t>.CAS* GRAN**</t>
  </si>
  <si>
    <t>ASCE******</t>
  </si>
  <si>
    <t>EMPR*** PRES****** DE SERV***** DE SANE*</t>
  </si>
  <si>
    <t>ELEC******</t>
  </si>
  <si>
    <t>SEDA***</t>
  </si>
  <si>
    <t>RACI*********** EMPR*******</t>
  </si>
  <si>
    <t>EMPR*** NACI**** DE LA COCA</t>
  </si>
  <si>
    <t>EMPR*** MUNI***** DE AGUA POTA*** Y ALCA</t>
  </si>
  <si>
    <t>EMP MUNI* DE A P Y A SAN MART**</t>
  </si>
  <si>
    <t>.YUR*</t>
  </si>
  <si>
    <t>INTE******* SAF</t>
  </si>
  <si>
    <t>EMPR*** DE GENE****** ELEC***** MACH****</t>
  </si>
  <si>
    <t>EPS SEDA*****</t>
  </si>
  <si>
    <t>SOCI**** DE BENE******** PUBL*** DEL CUS</t>
  </si>
  <si>
    <t>PANA***** SAN JORG*</t>
  </si>
  <si>
    <t>AVIC*** YUGO******</t>
  </si>
  <si>
    <t>EMPR*** MUNI***** DE SERV**** DE AGUA PO</t>
  </si>
  <si>
    <t>PLUZ ENER*** PERU</t>
  </si>
  <si>
    <t>EMPR*** MUNI***** SERV**** AGUA POTA***</t>
  </si>
  <si>
    <t>CONT******* TRAV**</t>
  </si>
  <si>
    <t>INST***** QUIM**********</t>
  </si>
  <si>
    <t>COES**</t>
  </si>
  <si>
    <t>CAJA RURA* AHOR*** Y CRED*** LOS ANDE*</t>
  </si>
  <si>
    <t>COMP**** MOLI**** DEL CENT**</t>
  </si>
  <si>
    <t>SOCI**** AGRI**** DROK***</t>
  </si>
  <si>
    <t>IF MEDI*** PLAZ* FMIV</t>
  </si>
  <si>
    <t>AGRO********** SAN JACI***</t>
  </si>
  <si>
    <t>OLYM*** PERU INC SUCU**** DEL PERU</t>
  </si>
  <si>
    <t>ROSE* PERU</t>
  </si>
  <si>
    <t>SERV**** DE AGUA POTA*** Y ALCA*********</t>
  </si>
  <si>
    <t>MINE** COLQ******</t>
  </si>
  <si>
    <t>.CAR*****</t>
  </si>
  <si>
    <t>INTE***** PERU LTD</t>
  </si>
  <si>
    <t>UNIV******* CONT*******</t>
  </si>
  <si>
    <t>EMP DE GENE****** ELEC***** SAN GABA*</t>
  </si>
  <si>
    <t>SUB CTE DE ADM DEL FOND* DE ASIS* Y ESTI</t>
  </si>
  <si>
    <t>CINE****</t>
  </si>
  <si>
    <t>INTE********* DE TITU*** SOCI****</t>
  </si>
  <si>
    <t>ELEC*** PUNO</t>
  </si>
  <si>
    <t>THE NOMA* GROU*</t>
  </si>
  <si>
    <t>PROC**** DE MEDI** DE PAGO</t>
  </si>
  <si>
    <t>CONS***** MINE** HORI*****</t>
  </si>
  <si>
    <t>ENGI* ENER*** PERU</t>
  </si>
  <si>
    <t>UNIV******* CATO**** DE SANT* MARI*</t>
  </si>
  <si>
    <t>IF MIXT* BALA****** FMIV</t>
  </si>
  <si>
    <t>INVE******* HOUS* CHIC***</t>
  </si>
  <si>
    <t>CORP******* MEND***</t>
  </si>
  <si>
    <t>INVE******* NOR CHIC***</t>
  </si>
  <si>
    <t>CAL &amp; CEME*** SUR</t>
  </si>
  <si>
    <t>.SAN*******</t>
  </si>
  <si>
    <t>OMNI**** PERU</t>
  </si>
  <si>
    <t>CONS***** TRAN********</t>
  </si>
  <si>
    <t>IF MEDI*** PLAZ* SOLE* FMIV</t>
  </si>
  <si>
    <t>COLE*** PART****** DE LOS SAGR****</t>
  </si>
  <si>
    <t>LA TINK*</t>
  </si>
  <si>
    <t>TRUP**</t>
  </si>
  <si>
    <t>DIST********* EXCL***** DE PROD***** DE</t>
  </si>
  <si>
    <t>MULT* TOP</t>
  </si>
  <si>
    <t>PATR***** ESCO*** PERU*** ALEM** MAX</t>
  </si>
  <si>
    <t>ESCU*** DE ALTO* ESTU**** JURI***** EGAC</t>
  </si>
  <si>
    <t>INVE******* TOMA* VALL*</t>
  </si>
  <si>
    <t>REAL PLAZ*</t>
  </si>
  <si>
    <t>IF ACCI**** SOLE* FMIV</t>
  </si>
  <si>
    <t>INTE***** FINA***** SERV**** INC</t>
  </si>
  <si>
    <t>NEGO********* SANT* CRUZ</t>
  </si>
  <si>
    <t>JAS IMPO** &amp; EXPO**</t>
  </si>
  <si>
    <t>IF INVE***** FLEX****</t>
  </si>
  <si>
    <t>GAS NATU*** DE LIMA Y CALL**</t>
  </si>
  <si>
    <t>EMAP**</t>
  </si>
  <si>
    <t>LIMA*** NATU*** PERU</t>
  </si>
  <si>
    <t>DH EMPR**** PERU</t>
  </si>
  <si>
    <t>IR MANA******</t>
  </si>
  <si>
    <t>TEXO*</t>
  </si>
  <si>
    <t>SERV****** PERU SERV**** DE TRAN*******</t>
  </si>
  <si>
    <t>INFI***** XP</t>
  </si>
  <si>
    <t>ACRI****</t>
  </si>
  <si>
    <t>EKON* DRYW***</t>
  </si>
  <si>
    <t>HUDB** PERU</t>
  </si>
  <si>
    <t>EMP DE TRAN******* Y MULT**********</t>
  </si>
  <si>
    <t>CINC* MILL**</t>
  </si>
  <si>
    <t>FUNE***** JARD****</t>
  </si>
  <si>
    <t>INDU***** TECN*** META******* Y SERV****</t>
  </si>
  <si>
    <t>OPER******* FUNE******</t>
  </si>
  <si>
    <t>MINE** SOTR***</t>
  </si>
  <si>
    <t>EMPR*** COMU*** APU LLAL**** DE</t>
  </si>
  <si>
    <t>MINE** LAS BAMB**</t>
  </si>
  <si>
    <t>FRUI********</t>
  </si>
  <si>
    <t>VIET*** PERU</t>
  </si>
  <si>
    <t>INTE***** RETA** INC</t>
  </si>
  <si>
    <t>BOOS*** GROU* PERU</t>
  </si>
  <si>
    <t>INTE*****</t>
  </si>
  <si>
    <t>CONC***** SUPE****</t>
  </si>
  <si>
    <t>INTE********* ELEC***** ISA PERU</t>
  </si>
  <si>
    <t>DESP**** COM PERU</t>
  </si>
  <si>
    <t>INMO******** PUER** DEL SOL</t>
  </si>
  <si>
    <t>IF OPOR******* SOLE* FMIV</t>
  </si>
  <si>
    <t>OBRA* SUBT******** SA SUCU**** EN LA REP</t>
  </si>
  <si>
    <t>ALDE** CONS********** SA SUCU**** EN PER</t>
  </si>
  <si>
    <t>ISSA****</t>
  </si>
  <si>
    <t>IF OPOR******* FMIV</t>
  </si>
  <si>
    <t>MT INDU******</t>
  </si>
  <si>
    <t>CORP******* PRIM**</t>
  </si>
  <si>
    <t>IF INVE***** GLOB** FMIV</t>
  </si>
  <si>
    <t>PATR****** EN FIDE******* D S N 093 2002</t>
  </si>
  <si>
    <t>COSC* SHIP**** PORT* CHAN*** PERU</t>
  </si>
  <si>
    <t>LA FIDU****** FID GLOB**</t>
  </si>
  <si>
    <t>IF LIBR* DISP********** SOLE* FMIV</t>
  </si>
  <si>
    <t>AGRO******</t>
  </si>
  <si>
    <t>JIBI****</t>
  </si>
  <si>
    <t>PAPA**** REST********</t>
  </si>
  <si>
    <t>BONA**** STOR**</t>
  </si>
  <si>
    <t>IF LIBR* DISP********** FMIV</t>
  </si>
  <si>
    <t>EBAN* PERU</t>
  </si>
  <si>
    <t>SEGU*** EMIS*** DE BONO* INNO** SCHO***</t>
  </si>
  <si>
    <t>TIEN*** TAMB*</t>
  </si>
  <si>
    <t>AGRO****</t>
  </si>
  <si>
    <t>TIEN*** ISHO* DEL PERU</t>
  </si>
  <si>
    <t>.VIS***</t>
  </si>
  <si>
    <t>TERM***</t>
  </si>
  <si>
    <t>IF CUPO* LATA* FMIV</t>
  </si>
  <si>
    <t>ALPH* ENER** SERV****</t>
  </si>
  <si>
    <t>SHOG** KENS**** OM SAC</t>
  </si>
  <si>
    <t>INVE******* INDE*********</t>
  </si>
  <si>
    <t>ANAL****** LABO******</t>
  </si>
  <si>
    <t>IF PORT****** DINA**** FMIV</t>
  </si>
  <si>
    <t>LA FIDU****** FID IBT</t>
  </si>
  <si>
    <t>INVE******* COME******* NAZC*</t>
  </si>
  <si>
    <t>INVE******* PLAZ* SAN MART**</t>
  </si>
  <si>
    <t>INVE******* VIEN* DEL PERU</t>
  </si>
  <si>
    <t>AGEN*** DE SERV***** MULT***** MARI****</t>
  </si>
  <si>
    <t>FOND* IMPU*** PYME 06</t>
  </si>
  <si>
    <t>PAUS** DIST**********</t>
  </si>
  <si>
    <t>INTE***** WORD</t>
  </si>
  <si>
    <t>DEME*** PERU</t>
  </si>
  <si>
    <t>IZIP**</t>
  </si>
  <si>
    <t>INVE******* URBA******** OPER*****</t>
  </si>
  <si>
    <t>1ER PROG DE BONO* DE TIT COLE* PERU****</t>
  </si>
  <si>
    <t>F DE F  IF ENFO*** GLOB**</t>
  </si>
  <si>
    <t>INDI***** XP</t>
  </si>
  <si>
    <t>BIWA** INVE*******</t>
  </si>
  <si>
    <t>BUSI**** CONS****** &amp; INCO**</t>
  </si>
  <si>
    <t>FOND* IMPU*** PYME 10 FOND* DE INVE*****</t>
  </si>
  <si>
    <t>MONN** PAGO* EN LINE*</t>
  </si>
  <si>
    <t>LA FIDU****** FID CASA IBK</t>
  </si>
  <si>
    <t>FOND* DE FOND** IF GLOB** THEM***** FMIV</t>
  </si>
  <si>
    <t>IF PORT****** DINA**** SOLE* FMIV</t>
  </si>
  <si>
    <t>FDF IF REAL ESTA** STUD*** ACCO********</t>
  </si>
  <si>
    <t>.UNA*** PERU</t>
  </si>
  <si>
    <t>CUAR** EMIS*** DE BONO* DE TITU********</t>
  </si>
  <si>
    <t>IF FUTU** SEGU** SOLE* FMIV</t>
  </si>
  <si>
    <t>IF FUTU** SEGU** DOLA*** FMIV</t>
  </si>
  <si>
    <t>AGRO****** COMP***</t>
  </si>
  <si>
    <t>POME** TECN****** PERU</t>
  </si>
  <si>
    <t>FOND* DE FOND** IF INVE***** EEUU FMIV</t>
  </si>
  <si>
    <t>LA FIDU****** COVI*** IIRS* T5</t>
  </si>
  <si>
    <t>TICK******** PERU SA</t>
  </si>
  <si>
    <t>FIDE******* OCP</t>
  </si>
  <si>
    <t>BPZ ENER** INTE********* HOLD**** LIMI**</t>
  </si>
  <si>
    <t>UNNA INVE*******</t>
  </si>
  <si>
    <t>FOND* IMPU*** PYME 08 FOND* DE INVE*****</t>
  </si>
  <si>
    <t>INAR** PERU</t>
  </si>
  <si>
    <t>FIDE******* CONS******** MPM - PNSU</t>
  </si>
  <si>
    <t>EPIC VIAJ**</t>
  </si>
  <si>
    <t>FEDE****** CENT** UNIO* DE TRAB********</t>
  </si>
  <si>
    <t>ÑUST* SAGR***</t>
  </si>
  <si>
    <t>FOND* IMPU*** PYME 09 - FOND* DE INVE***</t>
  </si>
  <si>
    <t>FOND* DE FOND** IF INVE***** INDI* FMIV</t>
  </si>
  <si>
    <t>FOND* DE FOND** IF ENFO*** MERC**** FRON</t>
  </si>
  <si>
    <t>INVE******* COCH********</t>
  </si>
  <si>
    <t>LA FIDU****** FID CBS RIO TUMB** IBK</t>
  </si>
  <si>
    <t>SOLES</t>
  </si>
  <si>
    <t>DOLARES</t>
  </si>
  <si>
    <t>***-*******183</t>
  </si>
  <si>
    <t>***-*******260</t>
  </si>
  <si>
    <t>***-*******261</t>
  </si>
  <si>
    <t>***-*******502</t>
  </si>
  <si>
    <t>***-*******125</t>
  </si>
  <si>
    <t>***-*******492</t>
  </si>
  <si>
    <t>***-*******661</t>
  </si>
  <si>
    <t>***-*******662</t>
  </si>
  <si>
    <t>***-*******141</t>
  </si>
  <si>
    <t>***-*******383</t>
  </si>
  <si>
    <t>***-*******837</t>
  </si>
  <si>
    <t>***-*******974</t>
  </si>
  <si>
    <t>***-*******024</t>
  </si>
  <si>
    <t>***-*******621</t>
  </si>
  <si>
    <t>***-*******240</t>
  </si>
  <si>
    <t>***-*******218</t>
  </si>
  <si>
    <t>***-*******030</t>
  </si>
  <si>
    <t>***-*******454</t>
  </si>
  <si>
    <t>***-*******656</t>
  </si>
  <si>
    <t>***-*******086</t>
  </si>
  <si>
    <t>***-*******697</t>
  </si>
  <si>
    <t>***-*******518</t>
  </si>
  <si>
    <t>***-*******953</t>
  </si>
  <si>
    <t>***-*******613</t>
  </si>
  <si>
    <t>***-*******135</t>
  </si>
  <si>
    <t>***-*******961</t>
  </si>
  <si>
    <t>***-*******105</t>
  </si>
  <si>
    <t>***-*******279</t>
  </si>
  <si>
    <t>***-*******835</t>
  </si>
  <si>
    <t>***-*******574</t>
  </si>
  <si>
    <t>***-*******284</t>
  </si>
  <si>
    <t>***-*******420</t>
  </si>
  <si>
    <t>***-*******668</t>
  </si>
  <si>
    <t>***-*******655</t>
  </si>
  <si>
    <t>***-*******299</t>
  </si>
  <si>
    <t>***-*******972</t>
  </si>
  <si>
    <t>***-*******610</t>
  </si>
  <si>
    <t>***-*******213</t>
  </si>
  <si>
    <t>***-*******580</t>
  </si>
  <si>
    <t>***-*******244</t>
  </si>
  <si>
    <t>***-*******340</t>
  </si>
  <si>
    <t>***-*******572</t>
  </si>
  <si>
    <t>***-*******359</t>
  </si>
  <si>
    <t>***-*******564</t>
  </si>
  <si>
    <t>***-*******007</t>
  </si>
  <si>
    <t>***-*******288</t>
  </si>
  <si>
    <t>***-*******419</t>
  </si>
  <si>
    <t>***-*******795</t>
  </si>
  <si>
    <t>***-*******189</t>
  </si>
  <si>
    <t>***-*******235</t>
  </si>
  <si>
    <t>***-*******787</t>
  </si>
  <si>
    <t>***-*******760</t>
  </si>
  <si>
    <t>***-*******146</t>
  </si>
  <si>
    <t>***-*******138</t>
  </si>
  <si>
    <t>***-*******686</t>
  </si>
  <si>
    <t>***-*******738</t>
  </si>
  <si>
    <t>***-*******660</t>
  </si>
  <si>
    <t>***-*******691</t>
  </si>
  <si>
    <t>***-*******709</t>
  </si>
  <si>
    <t>***-*******631</t>
  </si>
  <si>
    <t>***-*******296</t>
  </si>
  <si>
    <t>***-*******155</t>
  </si>
  <si>
    <t>***-*******303</t>
  </si>
  <si>
    <t>***-*******290</t>
  </si>
  <si>
    <t>***-*******934</t>
  </si>
  <si>
    <t>***-*******547</t>
  </si>
  <si>
    <t>***-*******119</t>
  </si>
  <si>
    <t>***-*******215</t>
  </si>
  <si>
    <t>***-*******936</t>
  </si>
  <si>
    <t>***-*******910</t>
  </si>
  <si>
    <t>***-*******587</t>
  </si>
  <si>
    <t>***-*******944</t>
  </si>
  <si>
    <t>***-*******479</t>
  </si>
  <si>
    <t>***-*******421</t>
  </si>
  <si>
    <t>***-*******863</t>
  </si>
  <si>
    <t>***-*******544</t>
  </si>
  <si>
    <t>***-*******137</t>
  </si>
  <si>
    <t>***-*******871</t>
  </si>
  <si>
    <t>***-*******855</t>
  </si>
  <si>
    <t>***-*******774</t>
  </si>
  <si>
    <t>***-*******471</t>
  </si>
  <si>
    <t>***-*******880</t>
  </si>
  <si>
    <t>***-*******100</t>
  </si>
  <si>
    <t>***-*******820</t>
  </si>
  <si>
    <t>***-*******607</t>
  </si>
  <si>
    <t>***-*******480</t>
  </si>
  <si>
    <t>***-*******644</t>
  </si>
  <si>
    <t>***-*******796</t>
  </si>
  <si>
    <t>***-*******740</t>
  </si>
  <si>
    <t>***-*******772</t>
  </si>
  <si>
    <t>***-*******178</t>
  </si>
  <si>
    <t>***-*******273</t>
  </si>
  <si>
    <t>***-*******487</t>
  </si>
  <si>
    <t>***-*******504</t>
  </si>
  <si>
    <t>***-*******753</t>
  </si>
  <si>
    <t>***-*******416</t>
  </si>
  <si>
    <t>***-*******980</t>
  </si>
  <si>
    <t>***-*******723</t>
  </si>
  <si>
    <t>***-*******552</t>
  </si>
  <si>
    <t>***-*******933</t>
  </si>
  <si>
    <t>***-*******546</t>
  </si>
  <si>
    <t>***-*******014</t>
  </si>
  <si>
    <t>***-*******401</t>
  </si>
  <si>
    <t>***-*******741</t>
  </si>
  <si>
    <t>***-*******850</t>
  </si>
  <si>
    <t>***-*******272</t>
  </si>
  <si>
    <t>***-*******538</t>
  </si>
  <si>
    <t>***-*******352</t>
  </si>
  <si>
    <t>***-*******041</t>
  </si>
  <si>
    <t>***-*******534</t>
  </si>
  <si>
    <t>***-*******123</t>
  </si>
  <si>
    <t>***-*******858</t>
  </si>
  <si>
    <t>***-*******281</t>
  </si>
  <si>
    <t>***-*******398</t>
  </si>
  <si>
    <t>***-*******594</t>
  </si>
  <si>
    <t>***-*******142</t>
  </si>
  <si>
    <t>***-*******465</t>
  </si>
  <si>
    <t>***-*******293</t>
  </si>
  <si>
    <t>***-*******593</t>
  </si>
  <si>
    <t>***-*******540</t>
  </si>
  <si>
    <t>***-*******688</t>
  </si>
  <si>
    <t>***-*******784</t>
  </si>
  <si>
    <t>***-*******032</t>
  </si>
  <si>
    <t>***-*******973</t>
  </si>
  <si>
    <t>***-*******792</t>
  </si>
  <si>
    <t>***-*******549</t>
  </si>
  <si>
    <t>***-*******969</t>
  </si>
  <si>
    <t>***-*******977</t>
  </si>
  <si>
    <t>***-*******519</t>
  </si>
  <si>
    <t>***-*******918</t>
  </si>
  <si>
    <t>***-*******900</t>
  </si>
  <si>
    <t>***-*******302</t>
  </si>
  <si>
    <t>***-*******182</t>
  </si>
  <si>
    <t>***-*******159</t>
  </si>
  <si>
    <t>***-*******681</t>
  </si>
  <si>
    <t>***-*******654</t>
  </si>
  <si>
    <t>***-*******670</t>
  </si>
  <si>
    <t>***-*******300</t>
  </si>
  <si>
    <t>***-*******730</t>
  </si>
  <si>
    <t>***-*******749</t>
  </si>
  <si>
    <t>***-*******515</t>
  </si>
  <si>
    <t>***-*******506</t>
  </si>
  <si>
    <t>***-*******889</t>
  </si>
  <si>
    <t>***-*******474</t>
  </si>
  <si>
    <t>***-*******404</t>
  </si>
  <si>
    <t>***-*******484</t>
  </si>
  <si>
    <t>***-*******423</t>
  </si>
  <si>
    <t>***-*******370</t>
  </si>
  <si>
    <t>***-*******675</t>
  </si>
  <si>
    <t>***-*******043</t>
  </si>
  <si>
    <t>***-*******467</t>
  </si>
  <si>
    <t>***-*******457</t>
  </si>
  <si>
    <t>***-*******440</t>
  </si>
  <si>
    <t>***-*******800</t>
  </si>
  <si>
    <t>***-*******556</t>
  </si>
  <si>
    <t>***-*******478</t>
  </si>
  <si>
    <t>***-*******926</t>
  </si>
  <si>
    <t>***-*******649</t>
  </si>
  <si>
    <t>***-*******588</t>
  </si>
  <si>
    <t>***-*******333</t>
  </si>
  <si>
    <t>***-*******543</t>
  </si>
  <si>
    <t>***-*******781</t>
  </si>
  <si>
    <t>***-*******799</t>
  </si>
  <si>
    <t>***-*******015</t>
  </si>
  <si>
    <t>***-*******133</t>
  </si>
  <si>
    <t>***-*******200</t>
  </si>
  <si>
    <t>***-*******929</t>
  </si>
  <si>
    <t>***-*******306</t>
  </si>
  <si>
    <t>***-*******536</t>
  </si>
  <si>
    <t>***-*******622</t>
  </si>
  <si>
    <t>***-*******615</t>
  </si>
  <si>
    <t>***-*******233</t>
  </si>
  <si>
    <t>***-*******896</t>
  </si>
  <si>
    <t>***-*******485</t>
  </si>
  <si>
    <t>***-*******571</t>
  </si>
  <si>
    <t>***-*******860</t>
  </si>
  <si>
    <t>***-*******525</t>
  </si>
  <si>
    <t>***-*******591</t>
  </si>
  <si>
    <t>***-*******044</t>
  </si>
  <si>
    <t>***-*******053</t>
  </si>
  <si>
    <t>***-*******308</t>
  </si>
  <si>
    <t>***-*******295</t>
  </si>
  <si>
    <t>***-*******286</t>
  </si>
  <si>
    <t>***-*******770</t>
  </si>
  <si>
    <t>***-*******382</t>
  </si>
  <si>
    <t>***-*******374</t>
  </si>
  <si>
    <t>***-*******325</t>
  </si>
  <si>
    <t>***-*******830</t>
  </si>
  <si>
    <t>***-*******869</t>
  </si>
  <si>
    <t>***-*******568</t>
  </si>
  <si>
    <t>***-*******990</t>
  </si>
  <si>
    <t>***-*******489</t>
  </si>
  <si>
    <t>***-*******893</t>
  </si>
  <si>
    <t>***-*******940</t>
  </si>
  <si>
    <t>***-*******975</t>
  </si>
  <si>
    <t>***-*******344</t>
  </si>
  <si>
    <t>***-*******054</t>
  </si>
  <si>
    <t>***-*******315</t>
  </si>
  <si>
    <t>***-*******023</t>
  </si>
  <si>
    <t>***-*******016</t>
  </si>
  <si>
    <t>***-*******905</t>
  </si>
  <si>
    <t>***-*******075</t>
  </si>
  <si>
    <t>***-*******185</t>
  </si>
  <si>
    <t>***-*******720</t>
  </si>
  <si>
    <t>***-*******736</t>
  </si>
  <si>
    <t>***-*******752</t>
  </si>
  <si>
    <t>***-*******461</t>
  </si>
  <si>
    <t>***-*******118</t>
  </si>
  <si>
    <t>***-*******696</t>
  </si>
  <si>
    <t>***-*******994</t>
  </si>
  <si>
    <t>***-*******343</t>
  </si>
  <si>
    <t>***-*******960</t>
  </si>
  <si>
    <t>***-*******840</t>
  </si>
  <si>
    <t>***-*******832</t>
  </si>
  <si>
    <t>***-*******646</t>
  </si>
  <si>
    <t>***-*******297</t>
  </si>
  <si>
    <t>***-*******111</t>
  </si>
  <si>
    <t>***-*******316</t>
  </si>
  <si>
    <t>***-*******088</t>
  </si>
  <si>
    <t>***-*******094</t>
  </si>
  <si>
    <t>***-*******019</t>
  </si>
  <si>
    <t>***-*******050</t>
  </si>
  <si>
    <t>***-*******822</t>
  </si>
  <si>
    <t>***-*******815</t>
  </si>
  <si>
    <t>***-*******113</t>
  </si>
  <si>
    <t>***-*******106</t>
  </si>
  <si>
    <t>***-*******937</t>
  </si>
  <si>
    <t>***-*******838</t>
  </si>
  <si>
    <t>***-*******856</t>
  </si>
  <si>
    <t>***-*******884</t>
  </si>
  <si>
    <t>***-*******892</t>
  </si>
  <si>
    <t>***-*******906</t>
  </si>
  <si>
    <t>***-*******384</t>
  </si>
  <si>
    <t>***-*******798</t>
  </si>
  <si>
    <t>***-*******147</t>
  </si>
  <si>
    <t>***-*******328</t>
  </si>
  <si>
    <t>***-*******496</t>
  </si>
  <si>
    <t>***-*******710</t>
  </si>
  <si>
    <t>***-*******248</t>
  </si>
  <si>
    <t>***-*******065</t>
  </si>
  <si>
    <t>***-*******888</t>
  </si>
  <si>
    <t>***-*******429</t>
  </si>
  <si>
    <t>FTP_CIERRE_MES</t>
  </si>
  <si>
    <t>NC</t>
  </si>
  <si>
    <t>CANC*** DEZA DIAN*</t>
  </si>
  <si>
    <t>MILL* CABR*** EZIL** CAMI**</t>
  </si>
  <si>
    <t>ROME** MASI** MARC***</t>
  </si>
  <si>
    <t>DUPE**** DIAZ ANDR** STEP*****</t>
  </si>
  <si>
    <t>TARI**** AREV*** JHOR ELZE*</t>
  </si>
  <si>
    <t>GEST*** RAMI*** MILA****</t>
  </si>
  <si>
    <t>ARAN**** BIAN** ROCI* MILA****</t>
  </si>
  <si>
    <t>ARAN** MORE** GABR****</t>
  </si>
  <si>
    <t>CALD**** CORD*** KARE*</t>
  </si>
  <si>
    <t>RODR***** SANG****** MARI* LUIS*</t>
  </si>
  <si>
    <t>CALD**** CURA* ANGE* JONA****</t>
  </si>
  <si>
    <t>GUER**** CALE** LEON****</t>
  </si>
  <si>
    <t>MORA* HART*** RIVK* MARI*</t>
  </si>
  <si>
    <t>ROMA* TELL* CATH*****</t>
  </si>
  <si>
    <t>SOTO LLAM** HECT**</t>
  </si>
  <si>
    <t>ESPI**** AGUI*** SAND** ZUSS**</t>
  </si>
  <si>
    <t>REJA* DIOS RICA*** JAVI** GERA***</t>
  </si>
  <si>
    <t>MEDR*** LUNA** ALVA** ALBE***</t>
  </si>
  <si>
    <t>DUHA*** NARA*** LORE** MARI*</t>
  </si>
  <si>
    <t>AYAL* ABAD JONA**** JESÚ*</t>
  </si>
  <si>
    <t>ZEGA*** LLOS* ARIA**</t>
  </si>
  <si>
    <t>YNGA LEON MARI* JIME**</t>
  </si>
  <si>
    <t>ESCU**** BERN*** GRAC****</t>
  </si>
  <si>
    <t>CHAN* PILL*** DAIL*** ZOIL***</t>
  </si>
  <si>
    <t>REYE* CALL* JOSE LUIS</t>
  </si>
  <si>
    <t>QUIN******* SAAV**** RAQU**</t>
  </si>
  <si>
    <t>ARGU**** DULA*** AUGU*** ARTU**</t>
  </si>
  <si>
    <t>BOLA*** DIAZ RENZ* FABR****</t>
  </si>
  <si>
    <t>YSHI* RIOS OSCA* LUIS HERM******</t>
  </si>
  <si>
    <t>CABR*** GALA*** DE NOLA*** ZOIL* YULI***</t>
  </si>
  <si>
    <t>FIGU**** NUÑE* ALIX*** MIGU**</t>
  </si>
  <si>
    <t>RIVE** HUAN*** MILU*** DEL PILA*</t>
  </si>
  <si>
    <t>CAYR* VIZC**** ALON**</t>
  </si>
  <si>
    <t>BUST** ZUÑI** DENN** EDSO*</t>
  </si>
  <si>
    <t>FOX MEDI** ELIZ***** LISS**</t>
  </si>
  <si>
    <t>MART**** GHIG** CARL** RENA**</t>
  </si>
  <si>
    <t>RENG*** URET* ESTE****** ANGE**</t>
  </si>
  <si>
    <t>ESCO*** OROP*** JOHA* EDIS**</t>
  </si>
  <si>
    <t>ALVA*** CAST** ARTU** JESU*</t>
  </si>
  <si>
    <t>MORA*** CAST**** MAYR* ALEJ*****</t>
  </si>
  <si>
    <t>TEMP EN - GUER**** CALE** LEON****</t>
  </si>
  <si>
    <t>GONZ**** HERN***** ANGI*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</si>
</sst>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_-* #,##0.000_-;\-* #,##0.000_-;_-* &quot;-&quot;??_-;_-@_-"/>
    <numFmt numFmtId="166" formatCode="_-* #,##0.000000_-;\-* #,##0.000000_-;_-* &quot;-&quot;??_-;_-@_-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9"/>
      <color indexed="81"/>
      <name val="Tahoma"/>
      <charset val="1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4">
    <xf numFmtId="0" fontId="0" fillId="0" borderId="0" xfId="0"/>
    <xf numFmtId="0" fontId="0" fillId="2" borderId="0" xfId="0" applyFill="1"/>
    <xf numFmtId="164" fontId="0" fillId="2" borderId="0" xfId="1" applyNumberFormat="1" applyFont="1" applyFill="1"/>
    <xf numFmtId="164" fontId="0" fillId="0" borderId="0" xfId="1" applyNumberFormat="1" applyFont="1"/>
    <xf numFmtId="165" fontId="0" fillId="0" borderId="0" xfId="1" applyNumberFormat="1" applyFont="1"/>
    <xf numFmtId="165" fontId="0" fillId="2" borderId="0" xfId="1" applyNumberFormat="1" applyFont="1" applyFill="1"/>
    <xf numFmtId="9" fontId="0" fillId="0" borderId="0" xfId="2" applyFont="1"/>
    <xf numFmtId="14" fontId="0" fillId="0" borderId="0" xfId="0" applyNumberFormat="1"/>
    <xf numFmtId="47" fontId="0" fillId="0" borderId="0" xfId="0" applyNumberFormat="1"/>
    <xf numFmtId="164" fontId="0" fillId="0" borderId="0" xfId="1" applyNumberFormat="1" applyFont="1" applyFill="1"/>
    <xf numFmtId="164" fontId="0" fillId="3" borderId="0" xfId="1" applyNumberFormat="1" applyFont="1" applyFill="1"/>
    <xf numFmtId="164" fontId="2" fillId="3" borderId="0" xfId="1" applyNumberFormat="1" applyFont="1" applyFill="1"/>
    <xf numFmtId="166" fontId="4" fillId="0" borderId="0" xfId="1" applyNumberFormat="1" applyFont="1"/>
    <xf numFmtId="166" fontId="0" fillId="0" borderId="0" xfId="1" applyNumberFormat="1" applyFont="1"/>
    <xf numFmtId="164" fontId="0" fillId="0" borderId="0" xfId="0" applyNumberFormat="1"/>
    <xf numFmtId="164" fontId="0" fillId="4" borderId="0" xfId="1" applyNumberFormat="1" applyFont="1" applyFill="1"/>
    <xf numFmtId="0" fontId="0" fillId="4" borderId="0" xfId="0" applyFill="1"/>
    <xf numFmtId="0" fontId="0" fillId="5" borderId="0" xfId="0" applyFill="1"/>
    <xf numFmtId="164" fontId="0" fillId="5" borderId="0" xfId="1" applyNumberFormat="1" applyFont="1" applyFill="1"/>
    <xf numFmtId="165" fontId="0" fillId="5" borderId="0" xfId="1" applyNumberFormat="1" applyFont="1" applyFill="1"/>
    <xf numFmtId="9" fontId="0" fillId="5" borderId="0" xfId="2" applyFont="1" applyFill="1"/>
    <xf numFmtId="166" fontId="4" fillId="5" borderId="0" xfId="1" applyNumberFormat="1" applyFont="1" applyFill="1"/>
    <xf numFmtId="166" fontId="0" fillId="5" borderId="0" xfId="1" applyNumberFormat="1" applyFont="1" applyFill="1"/>
    <xf numFmtId="164" fontId="0" fillId="5" borderId="0" xfId="0" applyNumberFormat="1" applyFill="1"/>
  </cellXfs>
  <cellStyles count="3">
    <cellStyle name="Millares" xfId="1" builtinId="3"/>
    <cellStyle name="Normal" xfId="0" builtinId="0"/>
    <cellStyle name="Porcentaje" xfId="2" builtinId="5"/>
  </cellStyles>
  <dxfs count="17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-* #,##0_-;\-* #,##0_-;_-* &quot;-&quot;??_-;_-@_-"/>
    </dxf>
    <dxf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_-* #,##0.000000_-;\-* #,##0.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-* #,##0_-;\-* #,##0_-;_-* &quot;-&quot;??_-;_-@_-"/>
    </dxf>
    <dxf>
      <numFmt numFmtId="164" formatCode="_-* #,##0_-;\-* #,##0_-;_-* &quot;-&quot;??_-;_-@_-"/>
      <border outline="0">
        <left style="thin">
          <color indexed="64"/>
        </left>
      </border>
    </dxf>
    <dxf>
      <numFmt numFmtId="164" formatCode="_-* #,##0_-;\-* #,##0_-;_-* &quot;-&quot;??_-;_-@_-"/>
    </dxf>
    <dxf>
      <font>
        <b/>
      </font>
      <numFmt numFmtId="166" formatCode="_-* #,##0.000000_-;\-* #,##0.0000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29" formatCode="mm:ss.0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9" formatCode="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93BC2A-047B-414D-8A42-4189D86646C2}" name="Tabla9" displayName="Tabla9" ref="A1:AP289" totalsRowShown="0">
  <autoFilter ref="A1:AP289" xr:uid="{A4A09204-25F3-4360-AA7C-F96D5F97425F}"/>
  <tableColumns count="42">
    <tableColumn id="1" xr3:uid="{35B230AA-DC7B-41D6-907D-3C904C619B7B}" name="PERIODO"/>
    <tableColumn id="2" xr3:uid="{1E42EFF5-42D4-47D7-8FC0-9231468F513A}" name="FECHA" dataDxfId="16"/>
    <tableColumn id="3" xr3:uid="{950725FE-AD24-40B7-AA3C-2915EAB7C660}" name="CODUNICOCLI"/>
    <tableColumn id="9" xr3:uid="{AB9AB477-2E6E-47D2-9267-878569C59333}" name="BANCA_PDT"/>
    <tableColumn id="11" xr3:uid="{75498EF8-49D8-439D-B6C4-B292E0A8E3E1}" name="ZONAL_PDT"/>
    <tableColumn id="55" xr3:uid="{100CC4A3-0756-40BB-A7B4-7302429CB6F6}" name="Nbr" dataDxfId="0"/>
    <tableColumn id="12" xr3:uid="{996C0570-D9BD-4C93-A37A-9DCCB8149F6E}" name="ZONAL"/>
    <tableColumn id="13" xr3:uid="{FD93772A-3E9B-417A-9A69-59A37A6CA875}" name="ENCARGADO_PDT"/>
    <tableColumn id="20" xr3:uid="{BE3564B6-9886-4EFF-A02E-C8313A6F9920}" name="MONEDA_PA"/>
    <tableColumn id="21" xr3:uid="{9C7FB89F-075C-44F5-B68B-605F113C1060}" name="FTP_CIERRE_MES">
      <calculatedColumnFormula>IF(I2="SOLES","4.4963","3.388")</calculatedColumnFormula>
    </tableColumn>
    <tableColumn id="22" xr3:uid="{129A27DC-9B3E-47CC-89DE-5054E6BFE08E}" name="APERTURA"/>
    <tableColumn id="23" xr3:uid="{F7658ADE-34E0-403F-ACF7-006A6049F017}" name="PRODUCTO"/>
    <tableColumn id="24" xr3:uid="{83B9B146-FE77-4EE5-AEE2-EB5BF692FFC9}" name="MONEDA_CUENTA"/>
    <tableColumn id="54" xr3:uid="{4D8F820E-EC97-45E0-BF36-9ADC203C32AB}" name="NC" dataDxfId="1"/>
    <tableColumn id="26" xr3:uid="{B5DB1595-0F8F-4F73-BD26-43BC1330F9D5}" name="REMUNERA"/>
    <tableColumn id="27" xr3:uid="{5C1ABC7F-2E27-4B8D-ACBF-E61D01A12ECF}" name="SAL_PROM_SOL"/>
    <tableColumn id="28" xr3:uid="{C78978D4-0F2A-4B50-A4E6-F3EEED213165}" name="SAL_PUNT_SOL"/>
    <tableColumn id="29" xr3:uid="{AC3A17F8-A916-4EEC-A1F4-72C106497CF2}" name="TASA_FTP"/>
    <tableColumn id="43" xr3:uid="{31791C84-AB2E-42EE-BECC-D55435093095}" name="SALDO_PROM_CORREGIDO" dataDxfId="15" dataCellStyle="Millares">
      <calculatedColumnFormula>+Tabla9[[#This Row],[SAL_PROM_SOL]]</calculatedColumnFormula>
    </tableColumn>
    <tableColumn id="30" xr3:uid="{59AD7A8F-935B-4BE0-9770-B54AE27860B2}" name="TASA_INT"/>
    <tableColumn id="31" xr3:uid="{7E97F3A4-1EE1-45D2-A57A-5D30E55CF35F}" name="T_SPREAD"/>
    <tableColumn id="32" xr3:uid="{52F79A02-992C-4089-9AC0-599D2FCAFF06}" name="FTP2"/>
    <tableColumn id="33" xr3:uid="{5336611B-C549-4A2C-81BF-22628004947A}" name="INT_REAL"/>
    <tableColumn id="34" xr3:uid="{E82D9873-6CDD-4914-BB19-13EBBF30F031}" name="SPREAD"/>
    <tableColumn id="35" xr3:uid="{EB632621-D1BE-4758-9C13-9899DA0E768F}" name="FSD_SOL"/>
    <tableColumn id="36" xr3:uid="{15A702B4-D5DE-437D-8CC8-4DDF76180518}" name="MARGEN_FSD"/>
    <tableColumn id="37" xr3:uid="{682BF641-1ABB-453F-9F60-6F9ABBFAA770}" name="DIAS"/>
    <tableColumn id="38" xr3:uid="{0866C62A-4C36-4FCC-851D-B4528644EDEC}" name="FLAG_MES_COMPLETO">
      <calculatedColumnFormula>+AA2=30</calculatedColumnFormula>
    </tableColumn>
    <tableColumn id="39" xr3:uid="{9393993A-E9B2-4B2B-8987-D5AE5B5AD043}" name="COMPROMISO" dataDxfId="14" dataCellStyle="Millares"/>
    <tableColumn id="40" xr3:uid="{D8823E60-F62F-416B-A64A-92AB8EF3604A}" name="COMENTARIO"/>
    <tableColumn id="41" xr3:uid="{16E2F2E6-7E50-4F64-AADF-A7A5B0682FE2}" name="FECHA_CARGA" dataDxfId="13"/>
    <tableColumn id="42" xr3:uid="{6B6A0C56-BB2D-44B3-8E4B-E68F173DAE7A}" name="CUMPLIMIENTO" dataDxfId="12" dataCellStyle="Porcentaje">
      <calculatedColumnFormula>S2/AC2</calculatedColumnFormula>
    </tableColumn>
    <tableColumn id="53" xr3:uid="{7E3539AC-B7D9-43F0-816B-FE8F41864F94}" name="Cumplio" dataDxfId="2" dataCellStyle="Porcentaje">
      <calculatedColumnFormula>+Tabla9[[#This Row],[CUMPLIMIENTO]]&lt;100%</calculatedColumnFormula>
    </tableColumn>
    <tableColumn id="45" xr3:uid="{2EC860BA-EA9B-41B0-B325-795ABC01E3B4}" name="FTP_DIARIO" dataDxfId="11" dataCellStyle="Millares">
      <calculatedColumnFormula>((( (Tabla9[[#This Row],[FTP_CIERRE_MES]]/100)+1)^(30/360) -1)*(36000/30))/36000</calculatedColumnFormula>
    </tableColumn>
    <tableColumn id="46" xr3:uid="{F8DC3BC6-55FE-4777-8804-05D8B0A39A79}" name="REAL_FTP_MONTO" dataDxfId="10" dataCellStyle="Millares">
      <calculatedColumnFormula>Tabla9[[#This Row],[FTP_DIARIO]]*Tabla9[[#This Row],[SALDO_PROM_CORREGIDO]]*Tabla9[[#This Row],[DIAS]]</calculatedColumnFormula>
    </tableColumn>
    <tableColumn id="44" xr3:uid="{53E655D3-EA53-4196-BA66-D1F529E5D66C}" name="REAL_MARGEN(FTP - Int)" dataDxfId="9" dataCellStyle="Millares">
      <calculatedColumnFormula>Tabla9[[#This Row],[REAL_FTP_MONTO]]-Tabla9[[#This Row],[INT_REAL]]</calculatedColumnFormula>
    </tableColumn>
    <tableColumn id="49" xr3:uid="{CBDC273C-61E1-4EF7-B3C5-E4873DBB5C35}" name="PROYECTADO_FTP_MONTO" dataDxfId="8" dataCellStyle="Millares">
      <calculatedColumnFormula>Tabla9[[#This Row],[FTP_DIARIO]]*Tabla9[[#This Row],[COMPROMISO]]*Tabla9[[#This Row],[DIAS]]</calculatedColumnFormula>
    </tableColumn>
    <tableColumn id="51" xr3:uid="{071B3541-14AA-46A4-B043-C603118FF9E5}" name="TEA DIARIA" dataDxfId="7" dataCellStyle="Millares">
      <calculatedColumnFormula>((( (Tabla9[[#This Row],[TASA_INT]])+1)^(30/360) -1)*(36000/30))/36000</calculatedColumnFormula>
    </tableColumn>
    <tableColumn id="50" xr3:uid="{D04CF71E-84C6-4490-A042-951D1D0D46AB}" name="REAL_INTERES" dataDxfId="6" dataCellStyle="Millares">
      <calculatedColumnFormula>Tabla9[[#This Row],[TEA DIARIA]]*Tabla9[[#This Row],[SALDO_PROM_CORREGIDO]]*Tabla9[[#This Row],[DIAS]]</calculatedColumnFormula>
    </tableColumn>
    <tableColumn id="52" xr3:uid="{51723D64-A137-45A8-AF0C-F0881A090584}" name="PROYECCION_INTERES" dataDxfId="5" dataCellStyle="Millares">
      <calculatedColumnFormula>Tabla9[[#This Row],[TEA DIARIA]]*Tabla9[[#This Row],[COMPROMISO]]*Tabla9[[#This Row],[DIAS]]</calculatedColumnFormula>
    </tableColumn>
    <tableColumn id="47" xr3:uid="{9F92D0F1-D1F3-42AF-B523-54806AD8552A}" name="PROYECCION_MARGEN(FTP - Int compromiso)" dataDxfId="4">
      <calculatedColumnFormula>+Tabla9[[#This Row],[PROYECTADO_FTP_MONTO]]-Tabla9[[#This Row],[PROYECCION_INTERES]]</calculatedColumnFormula>
    </tableColumn>
    <tableColumn id="48" xr3:uid="{FA8D06D4-83E6-421D-87C4-D93AEA3C78AF}" name="Ganancia con proyecto" dataDxfId="3" dataCellStyle="Milla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061CE-2667-4318-85A0-DDCF2474D79A}">
  <sheetPr codeName="Hoja1"/>
  <dimension ref="A1:AY289"/>
  <sheetViews>
    <sheetView tabSelected="1" zoomScale="45" zoomScaleNormal="45" workbookViewId="0">
      <pane xSplit="5" ySplit="2" topLeftCell="F248" activePane="bottomRight" state="frozen"/>
      <selection pane="topRight" activeCell="L1" sqref="L1"/>
      <selection pane="bottomLeft" activeCell="A154" sqref="A154"/>
      <selection pane="bottomRight" activeCell="H266" sqref="H266"/>
    </sheetView>
  </sheetViews>
  <sheetFormatPr baseColWidth="10" defaultRowHeight="14.5" outlineLevelCol="1" x14ac:dyDescent="0.35"/>
  <cols>
    <col min="1" max="1" width="11.54296875" customWidth="1"/>
    <col min="2" max="2" width="0" hidden="1" customWidth="1"/>
    <col min="3" max="3" width="16.54296875" customWidth="1"/>
    <col min="4" max="4" width="13.81640625" customWidth="1"/>
    <col min="5" max="5" width="13.54296875" customWidth="1"/>
    <col min="6" max="6" width="41.7265625" bestFit="1" customWidth="1"/>
    <col min="7" max="7" width="14.6328125" bestFit="1" customWidth="1"/>
    <col min="8" max="8" width="34.453125" bestFit="1" customWidth="1"/>
    <col min="9" max="9" width="14.453125" customWidth="1"/>
    <col min="11" max="11" width="12.54296875" customWidth="1"/>
    <col min="12" max="12" width="13.54296875" customWidth="1"/>
    <col min="13" max="13" width="19.54296875" customWidth="1"/>
    <col min="14" max="14" width="15.54296875" customWidth="1"/>
    <col min="15" max="15" width="13.453125" customWidth="1"/>
    <col min="16" max="16" width="18.54296875" style="3" customWidth="1"/>
    <col min="17" max="17" width="18" style="3" customWidth="1"/>
    <col min="18" max="18" width="13" style="4" customWidth="1"/>
    <col min="19" max="19" width="27.1796875" style="3" bestFit="1" customWidth="1"/>
    <col min="20" max="20" width="12.81640625" style="4" customWidth="1"/>
    <col min="21" max="21" width="13.7265625" style="4" customWidth="1"/>
    <col min="22" max="22" width="13.1796875" style="3" customWidth="1"/>
    <col min="23" max="23" width="13.1796875" style="3" bestFit="1" customWidth="1"/>
    <col min="24" max="24" width="12.1796875" style="3" hidden="1" customWidth="1"/>
    <col min="25" max="25" width="12.54296875" style="3" hidden="1" customWidth="1"/>
    <col min="26" max="26" width="17" style="3" hidden="1" customWidth="1"/>
    <col min="27" max="27" width="7.54296875" bestFit="1" customWidth="1"/>
    <col min="28" max="28" width="26" customWidth="1"/>
    <col min="29" max="29" width="16.1796875" style="3" customWidth="1"/>
    <col min="30" max="30" width="20.26953125" customWidth="1"/>
    <col min="31" max="31" width="16.54296875" hidden="1" customWidth="1"/>
    <col min="32" max="33" width="17.26953125" style="6" customWidth="1"/>
    <col min="34" max="34" width="22.90625" style="12" bestFit="1" customWidth="1"/>
    <col min="35" max="35" width="21.1796875" style="3" bestFit="1" customWidth="1"/>
    <col min="36" max="36" width="27" style="3" bestFit="1" customWidth="1"/>
    <col min="37" max="37" width="14.54296875" style="3" hidden="1" customWidth="1" outlineLevel="1"/>
    <col min="38" max="38" width="15.1796875" style="13" hidden="1" customWidth="1" outlineLevel="1"/>
    <col min="39" max="39" width="16.453125" style="3" hidden="1" customWidth="1" outlineLevel="1"/>
    <col min="40" max="40" width="23.54296875" style="3" hidden="1" customWidth="1" outlineLevel="1"/>
    <col min="41" max="41" width="16.26953125" customWidth="1" collapsed="1"/>
  </cols>
  <sheetData>
    <row r="1" spans="1:4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65</v>
      </c>
      <c r="G1" t="s">
        <v>5</v>
      </c>
      <c r="H1" t="s">
        <v>6</v>
      </c>
      <c r="I1" t="s">
        <v>7</v>
      </c>
      <c r="J1" s="1" t="s">
        <v>487</v>
      </c>
      <c r="K1" t="s">
        <v>8</v>
      </c>
      <c r="L1" t="s">
        <v>9</v>
      </c>
      <c r="M1" t="s">
        <v>10</v>
      </c>
      <c r="N1" t="s">
        <v>488</v>
      </c>
      <c r="O1" t="s">
        <v>11</v>
      </c>
      <c r="P1" s="2" t="s">
        <v>12</v>
      </c>
      <c r="Q1" s="3" t="s">
        <v>13</v>
      </c>
      <c r="R1" s="4" t="s">
        <v>14</v>
      </c>
      <c r="S1" s="3" t="s">
        <v>15</v>
      </c>
      <c r="T1" s="5" t="s">
        <v>16</v>
      </c>
      <c r="U1" s="4" t="s">
        <v>17</v>
      </c>
      <c r="V1" s="3" t="s">
        <v>18</v>
      </c>
      <c r="W1" s="2" t="s">
        <v>19</v>
      </c>
      <c r="X1" s="3" t="s">
        <v>20</v>
      </c>
      <c r="Y1" s="3" t="s">
        <v>21</v>
      </c>
      <c r="Z1" s="3" t="s">
        <v>22</v>
      </c>
      <c r="AA1" t="s">
        <v>23</v>
      </c>
      <c r="AB1" s="3" t="s">
        <v>24</v>
      </c>
      <c r="AC1" s="2" t="s">
        <v>25</v>
      </c>
      <c r="AD1" t="s">
        <v>26</v>
      </c>
      <c r="AE1" t="s">
        <v>27</v>
      </c>
      <c r="AF1" s="6" t="s">
        <v>28</v>
      </c>
      <c r="AG1" s="6" t="s">
        <v>64</v>
      </c>
      <c r="AH1" s="12" t="s">
        <v>55</v>
      </c>
      <c r="AI1" s="15" t="s">
        <v>57</v>
      </c>
      <c r="AJ1" s="15" t="s">
        <v>58</v>
      </c>
      <c r="AK1" s="3" t="s">
        <v>59</v>
      </c>
      <c r="AL1" s="12" t="s">
        <v>56</v>
      </c>
      <c r="AM1" s="3" t="s">
        <v>60</v>
      </c>
      <c r="AN1" s="3" t="s">
        <v>61</v>
      </c>
      <c r="AO1" s="16" t="s">
        <v>62</v>
      </c>
      <c r="AP1" t="s">
        <v>63</v>
      </c>
    </row>
    <row r="2" spans="1:42" x14ac:dyDescent="0.35">
      <c r="A2">
        <v>202604</v>
      </c>
      <c r="B2" s="7">
        <v>46142</v>
      </c>
      <c r="C2">
        <v>46268</v>
      </c>
      <c r="D2" t="s">
        <v>29</v>
      </c>
      <c r="E2" t="s">
        <v>30</v>
      </c>
      <c r="F2" t="s">
        <v>66</v>
      </c>
      <c r="G2" t="s">
        <v>30</v>
      </c>
      <c r="H2" t="s">
        <v>489</v>
      </c>
      <c r="I2" t="s">
        <v>243</v>
      </c>
      <c r="J2" t="str">
        <f t="shared" ref="J2" si="0">IF(I2="SOLES","4.4963","3.388")</f>
        <v>4.4963</v>
      </c>
      <c r="K2" t="s">
        <v>32</v>
      </c>
      <c r="L2" t="s">
        <v>33</v>
      </c>
      <c r="M2" t="s">
        <v>31</v>
      </c>
      <c r="N2" t="s">
        <v>245</v>
      </c>
      <c r="O2" t="s">
        <v>44</v>
      </c>
      <c r="P2" s="3">
        <v>4085706.1183000002</v>
      </c>
      <c r="Q2" s="3">
        <v>4136913.63</v>
      </c>
      <c r="R2" s="4">
        <v>4.4999999999999998E-2</v>
      </c>
      <c r="S2" s="3">
        <f>+Tabla9[[#This Row],[SAL_PROM_SOL]]</f>
        <v>4085706.1183000002</v>
      </c>
      <c r="T2" s="4">
        <v>3.5099999999999999E-2</v>
      </c>
      <c r="U2" s="4">
        <v>9.9000000000000008E-3</v>
      </c>
      <c r="V2" s="3">
        <v>15002.090899999999</v>
      </c>
      <c r="W2" s="3">
        <v>11771.479300000001</v>
      </c>
      <c r="X2" s="3">
        <v>3230.6116000000002</v>
      </c>
      <c r="Y2" s="3">
        <v>43.9499</v>
      </c>
      <c r="Z2" s="3">
        <v>3186.6617000000001</v>
      </c>
      <c r="AA2">
        <v>30</v>
      </c>
      <c r="AB2" t="b">
        <f t="shared" ref="AB2:AB37" si="1">+AA2=30</f>
        <v>1</v>
      </c>
      <c r="AC2" s="3">
        <v>4000000</v>
      </c>
      <c r="AD2" t="s">
        <v>45</v>
      </c>
      <c r="AE2" s="8">
        <v>46155.560022106481</v>
      </c>
      <c r="AF2" s="6">
        <f>S2/AC2</f>
        <v>1.021426529575</v>
      </c>
      <c r="AG2" s="6" t="b">
        <f>+Tabla9[[#This Row],[CUMPLIMIENTO]]&lt;100%</f>
        <v>0</v>
      </c>
      <c r="AH2" s="12">
        <f>((( (Tabla9[[#This Row],[FTP_CIERRE_MES]]/100)+1)^(30/360) -1)*(36000/30))/36000</f>
        <v>1.2239493171416853E-4</v>
      </c>
      <c r="AI2" s="3">
        <f>Tabla9[[#This Row],[FTP_DIARIO]]*Tabla9[[#This Row],[SALDO_PROM_CORREGIDO]]*Tabla9[[#This Row],[DIAS]]</f>
        <v>15002.091640604671</v>
      </c>
      <c r="AJ2" s="3">
        <f>Tabla9[[#This Row],[REAL_FTP_MONTO]]-Tabla9[[#This Row],[INT_REAL]]</f>
        <v>3230.61234060467</v>
      </c>
      <c r="AK2" s="3">
        <f>Tabla9[[#This Row],[FTP_DIARIO]]*Tabla9[[#This Row],[COMPROMISO]]*Tabla9[[#This Row],[DIAS]]</f>
        <v>14687.391805700223</v>
      </c>
      <c r="AL2" s="13">
        <f>((( (Tabla9[[#This Row],[TASA_INT]])+1)^(30/360) -1)*(36000/30))/36000</f>
        <v>9.5965766881437686E-5</v>
      </c>
      <c r="AM2" s="3">
        <f>Tabla9[[#This Row],[TEA DIARIA]]*Tabla9[[#This Row],[SALDO_PROM_CORREGIDO]]*Tabla9[[#This Row],[DIAS]]</f>
        <v>11762.637626845244</v>
      </c>
      <c r="AN2" s="3">
        <f>Tabla9[[#This Row],[TEA DIARIA]]*Tabla9[[#This Row],[COMPROMISO]]*Tabla9[[#This Row],[DIAS]]</f>
        <v>11515.892025772522</v>
      </c>
      <c r="AO2" s="14">
        <f>+Tabla9[[#This Row],[PROYECTADO_FTP_MONTO]]-Tabla9[[#This Row],[PROYECCION_INTERES]]</f>
        <v>3171.4997799277007</v>
      </c>
      <c r="AP2" s="3">
        <f>Tabla9[[#This Row],[PROYECCION_MARGEN(FTP - Int compromiso)]]-Tabla9[[#This Row],[REAL_MARGEN(FTP - Int)]]</f>
        <v>-59.112560676969224</v>
      </c>
    </row>
    <row r="3" spans="1:42" x14ac:dyDescent="0.35">
      <c r="A3">
        <v>202604</v>
      </c>
      <c r="B3" s="7">
        <v>46142</v>
      </c>
      <c r="C3">
        <v>53215</v>
      </c>
      <c r="D3" t="s">
        <v>29</v>
      </c>
      <c r="E3" t="s">
        <v>40</v>
      </c>
      <c r="F3" t="s">
        <v>67</v>
      </c>
      <c r="G3" t="s">
        <v>40</v>
      </c>
      <c r="H3" t="s">
        <v>490</v>
      </c>
      <c r="I3" t="s">
        <v>244</v>
      </c>
      <c r="J3" t="str">
        <f t="shared" ref="J3:J7" si="2">IF(I3="SOLES","4.4963","3.388")</f>
        <v>3.388</v>
      </c>
      <c r="K3" t="s">
        <v>32</v>
      </c>
      <c r="L3" t="s">
        <v>33</v>
      </c>
      <c r="M3" t="s">
        <v>34</v>
      </c>
      <c r="N3" t="s">
        <v>246</v>
      </c>
      <c r="O3" t="s">
        <v>44</v>
      </c>
      <c r="P3" s="3">
        <v>2839574.2768000001</v>
      </c>
      <c r="Q3" s="3">
        <v>3904610.5044</v>
      </c>
      <c r="R3" s="4">
        <v>3.39E-2</v>
      </c>
      <c r="S3" s="3">
        <f>+Tabla9[[#This Row],[SAL_PROM_SOL]]</f>
        <v>2839574.2768000001</v>
      </c>
      <c r="T3" s="4">
        <v>2.2499999999999999E-2</v>
      </c>
      <c r="U3" s="4">
        <v>1.14E-2</v>
      </c>
      <c r="V3" s="3">
        <v>7895.2121999999999</v>
      </c>
      <c r="W3" s="3">
        <v>5269.7524999999996</v>
      </c>
      <c r="X3" s="3">
        <v>2625.4596999999999</v>
      </c>
      <c r="Y3" s="3">
        <v>0</v>
      </c>
      <c r="Z3" s="3">
        <v>2625.4596999999999</v>
      </c>
      <c r="AA3">
        <v>30</v>
      </c>
      <c r="AB3" t="b">
        <f t="shared" si="1"/>
        <v>1</v>
      </c>
      <c r="AC3" s="3">
        <v>500000</v>
      </c>
      <c r="AD3" t="s">
        <v>46</v>
      </c>
      <c r="AE3" s="8">
        <v>46155.560022106481</v>
      </c>
      <c r="AF3" s="6">
        <f t="shared" ref="AF3:AF7" si="3">S3/AC3</f>
        <v>5.6791485536000001</v>
      </c>
      <c r="AG3" s="6" t="b">
        <f>+Tabla9[[#This Row],[CUMPLIMIENTO]]&lt;100%</f>
        <v>0</v>
      </c>
      <c r="AH3" s="12">
        <f>((( (Tabla9[[#This Row],[FTP_CIERRE_MES]]/100)+1)^(30/360) -1)*(36000/30))/36000</f>
        <v>9.2680593701059222E-5</v>
      </c>
      <c r="AI3" s="3">
        <f>Tabla9[[#This Row],[FTP_DIARIO]]*Tabla9[[#This Row],[SALDO_PROM_CORREGIDO]]*Tabla9[[#This Row],[DIAS]]</f>
        <v>7895.2028949623964</v>
      </c>
      <c r="AJ3" s="3">
        <f>Tabla9[[#This Row],[REAL_FTP_MONTO]]-Tabla9[[#This Row],[INT_REAL]]</f>
        <v>2625.4503949623968</v>
      </c>
      <c r="AK3" s="3">
        <f>Tabla9[[#This Row],[FTP_DIARIO]]*Tabla9[[#This Row],[COMPROMISO]]*Tabla9[[#This Row],[DIAS]]</f>
        <v>1390.2089055158883</v>
      </c>
      <c r="AL3" s="13">
        <f>((( (Tabla9[[#This Row],[TASA_INT]])+1)^(30/360) -1)*(36000/30))/36000</f>
        <v>6.1864584511206461E-5</v>
      </c>
      <c r="AM3" s="3">
        <f>Tabla9[[#This Row],[TEA DIARIA]]*Tabla9[[#This Row],[SALDO_PROM_CORREGIDO]]*Tabla9[[#This Row],[DIAS]]</f>
        <v>5270.0724846882467</v>
      </c>
      <c r="AN3" s="3">
        <f>Tabla9[[#This Row],[TEA DIARIA]]*Tabla9[[#This Row],[COMPROMISO]]*Tabla9[[#This Row],[DIAS]]</f>
        <v>927.96876766809692</v>
      </c>
      <c r="AO3" s="14">
        <f>+Tabla9[[#This Row],[PROYECTADO_FTP_MONTO]]-Tabla9[[#This Row],[PROYECCION_INTERES]]</f>
        <v>462.2401378477914</v>
      </c>
      <c r="AP3" s="3">
        <f>Tabla9[[#This Row],[PROYECCION_MARGEN(FTP - Int compromiso)]]-Tabla9[[#This Row],[REAL_MARGEN(FTP - Int)]]</f>
        <v>-2163.2102571146052</v>
      </c>
    </row>
    <row r="4" spans="1:42" x14ac:dyDescent="0.35">
      <c r="A4">
        <v>202604</v>
      </c>
      <c r="B4" s="7">
        <v>46142</v>
      </c>
      <c r="C4">
        <v>53215</v>
      </c>
      <c r="D4" t="s">
        <v>29</v>
      </c>
      <c r="E4" t="s">
        <v>40</v>
      </c>
      <c r="F4" t="s">
        <v>67</v>
      </c>
      <c r="G4" t="s">
        <v>40</v>
      </c>
      <c r="H4" t="s">
        <v>490</v>
      </c>
      <c r="I4" t="s">
        <v>243</v>
      </c>
      <c r="J4" t="str">
        <f t="shared" si="2"/>
        <v>4.4963</v>
      </c>
      <c r="K4" t="s">
        <v>32</v>
      </c>
      <c r="L4" t="s">
        <v>33</v>
      </c>
      <c r="M4" t="s">
        <v>31</v>
      </c>
      <c r="N4" t="s">
        <v>247</v>
      </c>
      <c r="O4" t="s">
        <v>44</v>
      </c>
      <c r="P4" s="3">
        <v>2890059.6708999998</v>
      </c>
      <c r="Q4" s="3">
        <v>2922220.11</v>
      </c>
      <c r="R4" s="4">
        <v>4.4999999999999998E-2</v>
      </c>
      <c r="S4" s="3">
        <f>+Tabla9[[#This Row],[SAL_PROM_SOL]]</f>
        <v>2890059.6708999998</v>
      </c>
      <c r="T4" s="4">
        <v>2.9000000000000001E-2</v>
      </c>
      <c r="U4" s="4">
        <v>1.6E-2</v>
      </c>
      <c r="V4" s="3">
        <v>10611.859700000001</v>
      </c>
      <c r="W4" s="3">
        <v>6897.0313999999998</v>
      </c>
      <c r="X4" s="3">
        <v>3714.8283000000001</v>
      </c>
      <c r="Y4" s="3">
        <v>43.9499</v>
      </c>
      <c r="Z4" s="3">
        <v>3670.8784000000001</v>
      </c>
      <c r="AA4">
        <v>30</v>
      </c>
      <c r="AB4" t="b">
        <f t="shared" si="1"/>
        <v>1</v>
      </c>
      <c r="AC4" s="3">
        <v>2000000</v>
      </c>
      <c r="AD4" t="s">
        <v>46</v>
      </c>
      <c r="AE4" s="8">
        <v>46155.560022106481</v>
      </c>
      <c r="AF4" s="6">
        <f t="shared" si="3"/>
        <v>1.44502983545</v>
      </c>
      <c r="AG4" s="6" t="b">
        <f>+Tabla9[[#This Row],[CUMPLIMIENTO]]&lt;100%</f>
        <v>0</v>
      </c>
      <c r="AH4" s="12">
        <f>((( (Tabla9[[#This Row],[FTP_CIERRE_MES]]/100)+1)^(30/360) -1)*(36000/30))/36000</f>
        <v>1.2239493171416853E-4</v>
      </c>
      <c r="AI4" s="3">
        <f>Tabla9[[#This Row],[FTP_DIARIO]]*Tabla9[[#This Row],[SALDO_PROM_CORREGIDO]]*Tabla9[[#This Row],[DIAS]]</f>
        <v>10611.859682090335</v>
      </c>
      <c r="AJ4" s="3">
        <f>Tabla9[[#This Row],[REAL_FTP_MONTO]]-Tabla9[[#This Row],[INT_REAL]]</f>
        <v>3714.8282820903351</v>
      </c>
      <c r="AK4" s="3">
        <f>Tabla9[[#This Row],[FTP_DIARIO]]*Tabla9[[#This Row],[COMPROMISO]]*Tabla9[[#This Row],[DIAS]]</f>
        <v>7343.6959028501115</v>
      </c>
      <c r="AL4" s="13">
        <f>((( (Tabla9[[#This Row],[TASA_INT]])+1)^(30/360) -1)*(36000/30))/36000</f>
        <v>7.9504265797569748E-5</v>
      </c>
      <c r="AM4" s="3">
        <f>Tabla9[[#This Row],[TEA DIARIA]]*Tabla9[[#This Row],[SALDO_PROM_CORREGIDO]]*Tabla9[[#This Row],[DIAS]]</f>
        <v>6893.1621673821164</v>
      </c>
      <c r="AN4" s="3">
        <f>Tabla9[[#This Row],[TEA DIARIA]]*Tabla9[[#This Row],[COMPROMISO]]*Tabla9[[#This Row],[DIAS]]</f>
        <v>4770.2559478541843</v>
      </c>
      <c r="AO4" s="14">
        <f>+Tabla9[[#This Row],[PROYECTADO_FTP_MONTO]]-Tabla9[[#This Row],[PROYECCION_INTERES]]</f>
        <v>2573.4399549959271</v>
      </c>
      <c r="AP4" s="3">
        <f>Tabla9[[#This Row],[PROYECCION_MARGEN(FTP - Int compromiso)]]-Tabla9[[#This Row],[REAL_MARGEN(FTP - Int)]]</f>
        <v>-1141.3883270944079</v>
      </c>
    </row>
    <row r="5" spans="1:42" x14ac:dyDescent="0.35">
      <c r="A5">
        <v>202604</v>
      </c>
      <c r="B5" s="7">
        <v>46142</v>
      </c>
      <c r="C5">
        <v>53587</v>
      </c>
      <c r="D5" t="s">
        <v>36</v>
      </c>
      <c r="E5" t="s">
        <v>37</v>
      </c>
      <c r="F5" t="s">
        <v>68</v>
      </c>
      <c r="G5" t="s">
        <v>37</v>
      </c>
      <c r="H5" t="s">
        <v>491</v>
      </c>
      <c r="I5" t="s">
        <v>244</v>
      </c>
      <c r="J5" t="str">
        <f t="shared" si="2"/>
        <v>3.388</v>
      </c>
      <c r="K5" t="s">
        <v>32</v>
      </c>
      <c r="L5" t="s">
        <v>33</v>
      </c>
      <c r="M5" t="s">
        <v>34</v>
      </c>
      <c r="N5" t="s">
        <v>248</v>
      </c>
      <c r="O5" t="s">
        <v>44</v>
      </c>
      <c r="P5" s="3">
        <v>30515.377899999999</v>
      </c>
      <c r="Q5" s="3">
        <v>7046.3095000000003</v>
      </c>
      <c r="R5" s="4">
        <v>3.39E-2</v>
      </c>
      <c r="S5" s="3">
        <f>+Tabla9[[#This Row],[SAL_PROM_SOL]]</f>
        <v>30515.377899999999</v>
      </c>
      <c r="T5" s="4">
        <v>0</v>
      </c>
      <c r="U5" s="4">
        <v>3.39E-2</v>
      </c>
      <c r="V5" s="3">
        <v>84.835499999999996</v>
      </c>
      <c r="W5" s="3">
        <v>0</v>
      </c>
      <c r="X5" s="3">
        <v>84.835499999999996</v>
      </c>
      <c r="Y5" s="3">
        <v>0</v>
      </c>
      <c r="Z5" s="3">
        <v>84.835499999999996</v>
      </c>
      <c r="AA5">
        <v>30</v>
      </c>
      <c r="AB5" t="b">
        <f t="shared" si="1"/>
        <v>1</v>
      </c>
      <c r="AC5" s="3">
        <v>296000</v>
      </c>
      <c r="AD5" t="s">
        <v>45</v>
      </c>
      <c r="AE5" s="8">
        <v>46155.560022106481</v>
      </c>
      <c r="AF5" s="6">
        <f t="shared" si="3"/>
        <v>0.1030924929054054</v>
      </c>
      <c r="AG5" s="6" t="b">
        <f>+Tabla9[[#This Row],[CUMPLIMIENTO]]&lt;100%</f>
        <v>1</v>
      </c>
      <c r="AH5" s="12">
        <f>((( (Tabla9[[#This Row],[FTP_CIERRE_MES]]/100)+1)^(30/360) -1)*(36000/30))/36000</f>
        <v>9.2680593701059222E-5</v>
      </c>
      <c r="AI5" s="3">
        <f>Tabla9[[#This Row],[FTP_DIARIO]]*Tabla9[[#This Row],[SALDO_PROM_CORREGIDO]]*Tabla9[[#This Row],[DIAS]]</f>
        <v>84.845500223525463</v>
      </c>
      <c r="AJ5" s="3">
        <f>Tabla9[[#This Row],[REAL_FTP_MONTO]]-Tabla9[[#This Row],[INT_REAL]]</f>
        <v>84.845500223525463</v>
      </c>
      <c r="AK5" s="3">
        <f>Tabla9[[#This Row],[FTP_DIARIO]]*Tabla9[[#This Row],[COMPROMISO]]*Tabla9[[#This Row],[DIAS]]</f>
        <v>823.00367206540591</v>
      </c>
      <c r="AL5" s="13">
        <f>((( (Tabla9[[#This Row],[TASA_INT]])+1)^(30/360) -1)*(36000/30))/36000</f>
        <v>0</v>
      </c>
      <c r="AM5" s="3">
        <f>Tabla9[[#This Row],[TEA DIARIA]]*Tabla9[[#This Row],[SALDO_PROM_CORREGIDO]]*Tabla9[[#This Row],[DIAS]]</f>
        <v>0</v>
      </c>
      <c r="AN5" s="3">
        <f>Tabla9[[#This Row],[TEA DIARIA]]*Tabla9[[#This Row],[COMPROMISO]]*Tabla9[[#This Row],[DIAS]]</f>
        <v>0</v>
      </c>
      <c r="AO5" s="14">
        <f>+Tabla9[[#This Row],[PROYECTADO_FTP_MONTO]]-Tabla9[[#This Row],[PROYECCION_INTERES]]</f>
        <v>823.00367206540591</v>
      </c>
      <c r="AP5" s="3">
        <f>Tabla9[[#This Row],[PROYECCION_MARGEN(FTP - Int compromiso)]]-Tabla9[[#This Row],[REAL_MARGEN(FTP - Int)]]</f>
        <v>738.1581718418804</v>
      </c>
    </row>
    <row r="6" spans="1:42" x14ac:dyDescent="0.35">
      <c r="A6">
        <v>202604</v>
      </c>
      <c r="B6" s="7">
        <v>46142</v>
      </c>
      <c r="C6">
        <v>53587</v>
      </c>
      <c r="D6" t="s">
        <v>36</v>
      </c>
      <c r="E6" t="s">
        <v>37</v>
      </c>
      <c r="F6" t="s">
        <v>68</v>
      </c>
      <c r="G6" t="s">
        <v>37</v>
      </c>
      <c r="H6" t="s">
        <v>491</v>
      </c>
      <c r="I6" t="s">
        <v>243</v>
      </c>
      <c r="J6" t="str">
        <f t="shared" si="2"/>
        <v>4.4963</v>
      </c>
      <c r="K6" t="s">
        <v>32</v>
      </c>
      <c r="L6" t="s">
        <v>33</v>
      </c>
      <c r="M6" t="s">
        <v>31</v>
      </c>
      <c r="N6" t="s">
        <v>249</v>
      </c>
      <c r="O6" t="s">
        <v>44</v>
      </c>
      <c r="P6" s="3">
        <v>931808.58959999995</v>
      </c>
      <c r="Q6" s="3">
        <v>735155.37</v>
      </c>
      <c r="R6" s="4">
        <v>4.4999999999999998E-2</v>
      </c>
      <c r="S6" s="3">
        <f>+Tabla9[[#This Row],[SAL_PROM_SOL]]</f>
        <v>931808.58959999995</v>
      </c>
      <c r="T6" s="4">
        <v>1.0200000000000001E-2</v>
      </c>
      <c r="U6" s="4">
        <v>3.4799999999999998E-2</v>
      </c>
      <c r="V6" s="3">
        <v>3421.4605999999999</v>
      </c>
      <c r="W6" s="3">
        <v>791.3288</v>
      </c>
      <c r="X6" s="3">
        <v>2630.1318000000001</v>
      </c>
      <c r="Y6" s="3">
        <v>43.9499</v>
      </c>
      <c r="Z6" s="3">
        <v>2586.1819</v>
      </c>
      <c r="AA6">
        <v>30</v>
      </c>
      <c r="AB6" t="b">
        <f t="shared" si="1"/>
        <v>1</v>
      </c>
      <c r="AC6" s="3">
        <v>1000000</v>
      </c>
      <c r="AD6" t="s">
        <v>45</v>
      </c>
      <c r="AE6" s="8">
        <v>46155.560022106481</v>
      </c>
      <c r="AF6" s="6">
        <f t="shared" si="3"/>
        <v>0.9318085895999999</v>
      </c>
      <c r="AG6" s="6" t="b">
        <f>+Tabla9[[#This Row],[CUMPLIMIENTO]]&lt;100%</f>
        <v>1</v>
      </c>
      <c r="AH6" s="12">
        <f>((( (Tabla9[[#This Row],[FTP_CIERRE_MES]]/100)+1)^(30/360) -1)*(36000/30))/36000</f>
        <v>1.2239493171416853E-4</v>
      </c>
      <c r="AI6" s="3">
        <f>Tabla9[[#This Row],[FTP_DIARIO]]*Tabla9[[#This Row],[SALDO_PROM_CORREGIDO]]*Tabla9[[#This Row],[DIAS]]</f>
        <v>3421.4594608430302</v>
      </c>
      <c r="AJ6" s="3">
        <f>Tabla9[[#This Row],[REAL_FTP_MONTO]]-Tabla9[[#This Row],[INT_REAL]]</f>
        <v>2630.1306608430305</v>
      </c>
      <c r="AK6" s="3">
        <f>Tabla9[[#This Row],[FTP_DIARIO]]*Tabla9[[#This Row],[COMPROMISO]]*Tabla9[[#This Row],[DIAS]]</f>
        <v>3671.8479514250557</v>
      </c>
      <c r="AL6" s="13">
        <f>((( (Tabla9[[#This Row],[TASA_INT]])+1)^(30/360) -1)*(36000/30))/36000</f>
        <v>2.8201731817723008E-5</v>
      </c>
      <c r="AM6" s="3">
        <f>Tabla9[[#This Row],[TEA DIARIA]]*Tabla9[[#This Row],[SALDO_PROM_CORREGIDO]]*Tabla9[[#This Row],[DIAS]]</f>
        <v>788.35847848049764</v>
      </c>
      <c r="AN6" s="3">
        <f>Tabla9[[#This Row],[TEA DIARIA]]*Tabla9[[#This Row],[COMPROMISO]]*Tabla9[[#This Row],[DIAS]]</f>
        <v>846.05195453169028</v>
      </c>
      <c r="AO6" s="14">
        <f>+Tabla9[[#This Row],[PROYECTADO_FTP_MONTO]]-Tabla9[[#This Row],[PROYECCION_INTERES]]</f>
        <v>2825.7959968933656</v>
      </c>
      <c r="AP6" s="3">
        <f>Tabla9[[#This Row],[PROYECCION_MARGEN(FTP - Int compromiso)]]-Tabla9[[#This Row],[REAL_MARGEN(FTP - Int)]]</f>
        <v>195.6653360503351</v>
      </c>
    </row>
    <row r="7" spans="1:42" x14ac:dyDescent="0.35">
      <c r="A7">
        <v>202604</v>
      </c>
      <c r="B7" s="7">
        <v>46142</v>
      </c>
      <c r="C7">
        <v>55772</v>
      </c>
      <c r="D7" t="s">
        <v>36</v>
      </c>
      <c r="E7" t="s">
        <v>38</v>
      </c>
      <c r="F7" t="s">
        <v>69</v>
      </c>
      <c r="G7" t="s">
        <v>38</v>
      </c>
      <c r="H7" t="s">
        <v>492</v>
      </c>
      <c r="I7" t="s">
        <v>243</v>
      </c>
      <c r="J7" t="str">
        <f t="shared" si="2"/>
        <v>4.4963</v>
      </c>
      <c r="K7" t="s">
        <v>32</v>
      </c>
      <c r="L7" t="s">
        <v>33</v>
      </c>
      <c r="M7" t="s">
        <v>31</v>
      </c>
      <c r="N7" t="s">
        <v>250</v>
      </c>
      <c r="O7" t="s">
        <v>44</v>
      </c>
      <c r="P7" s="3">
        <v>73858088.751100004</v>
      </c>
      <c r="Q7" s="3">
        <v>57472150.280000001</v>
      </c>
      <c r="R7" s="4">
        <v>4.4999999999999998E-2</v>
      </c>
      <c r="S7" s="3">
        <f>+Tabla9[[#This Row],[SAL_PROM_SOL]]</f>
        <v>73858088.751100004</v>
      </c>
      <c r="T7" s="4">
        <v>4.2900000000000001E-2</v>
      </c>
      <c r="U7" s="4">
        <v>2.0999999999999999E-3</v>
      </c>
      <c r="V7" s="3">
        <v>271195.66930000001</v>
      </c>
      <c r="W7" s="3">
        <v>258970.22010000001</v>
      </c>
      <c r="X7" s="3">
        <v>12225.449199999999</v>
      </c>
      <c r="Y7" s="3">
        <v>43.9499</v>
      </c>
      <c r="Z7" s="3">
        <v>12181.499299999999</v>
      </c>
      <c r="AA7">
        <v>30</v>
      </c>
      <c r="AB7" t="b">
        <f t="shared" si="1"/>
        <v>1</v>
      </c>
      <c r="AC7" s="3">
        <v>30000000</v>
      </c>
      <c r="AD7" t="s">
        <v>46</v>
      </c>
      <c r="AE7" s="8">
        <v>46155.560022106481</v>
      </c>
      <c r="AF7" s="6">
        <f t="shared" si="3"/>
        <v>2.4619362917033336</v>
      </c>
      <c r="AG7" s="6" t="b">
        <f>+Tabla9[[#This Row],[CUMPLIMIENTO]]&lt;100%</f>
        <v>0</v>
      </c>
      <c r="AH7" s="12">
        <f>((( (Tabla9[[#This Row],[FTP_CIERRE_MES]]/100)+1)^(30/360) -1)*(36000/30))/36000</f>
        <v>1.2239493171416853E-4</v>
      </c>
      <c r="AI7" s="3">
        <f>Tabla9[[#This Row],[FTP_DIARIO]]*Tabla9[[#This Row],[SALDO_PROM_CORREGIDO]]*Tabla9[[#This Row],[DIAS]]</f>
        <v>271195.67187689646</v>
      </c>
      <c r="AJ7" s="3">
        <f>Tabla9[[#This Row],[REAL_FTP_MONTO]]-Tabla9[[#This Row],[INT_REAL]]</f>
        <v>12225.451776896458</v>
      </c>
      <c r="AK7" s="3">
        <f>Tabla9[[#This Row],[FTP_DIARIO]]*Tabla9[[#This Row],[COMPROMISO]]*Tabla9[[#This Row],[DIAS]]</f>
        <v>110155.43854275167</v>
      </c>
      <c r="AL7" s="13">
        <f>((( (Tabla9[[#This Row],[TASA_INT]])+1)^(30/360) -1)*(36000/30))/36000</f>
        <v>1.1688582925904653E-4</v>
      </c>
      <c r="AM7" s="3">
        <f>Tabla9[[#This Row],[TEA DIARIA]]*Tabla9[[#This Row],[SALDO_PROM_CORREGIDO]]*Tabla9[[#This Row],[DIAS]]</f>
        <v>258988.91853481741</v>
      </c>
      <c r="AN7" s="3">
        <f>Tabla9[[#This Row],[TEA DIARIA]]*Tabla9[[#This Row],[COMPROMISO]]*Tabla9[[#This Row],[DIAS]]</f>
        <v>105197.24633314187</v>
      </c>
      <c r="AO7" s="14">
        <f>+Tabla9[[#This Row],[PROYECTADO_FTP_MONTO]]-Tabla9[[#This Row],[PROYECCION_INTERES]]</f>
        <v>4958.1922096097987</v>
      </c>
      <c r="AP7" s="3">
        <f>Tabla9[[#This Row],[PROYECCION_MARGEN(FTP - Int compromiso)]]-Tabla9[[#This Row],[REAL_MARGEN(FTP - Int)]]</f>
        <v>-7267.2595672866591</v>
      </c>
    </row>
    <row r="8" spans="1:42" x14ac:dyDescent="0.35">
      <c r="A8">
        <v>202604</v>
      </c>
      <c r="B8" s="7">
        <v>46142</v>
      </c>
      <c r="C8">
        <v>349274</v>
      </c>
      <c r="D8" t="s">
        <v>42</v>
      </c>
      <c r="E8" t="s">
        <v>48</v>
      </c>
      <c r="F8" t="s">
        <v>70</v>
      </c>
      <c r="G8" t="s">
        <v>48</v>
      </c>
      <c r="H8" t="s">
        <v>493</v>
      </c>
      <c r="I8" t="s">
        <v>244</v>
      </c>
      <c r="J8" t="str">
        <f t="shared" ref="J8:J10" si="4">IF(I8="SOLES","4.4963","3.388")</f>
        <v>3.388</v>
      </c>
      <c r="K8" t="s">
        <v>32</v>
      </c>
      <c r="L8" t="s">
        <v>33</v>
      </c>
      <c r="M8" t="s">
        <v>34</v>
      </c>
      <c r="N8" t="s">
        <v>251</v>
      </c>
      <c r="O8" t="s">
        <v>44</v>
      </c>
      <c r="P8" s="3">
        <v>8959424.0069999993</v>
      </c>
      <c r="Q8" s="3">
        <v>9568905.4990999997</v>
      </c>
      <c r="R8" s="4">
        <v>3.39E-2</v>
      </c>
      <c r="S8" s="3">
        <f>+Tabla9[[#This Row],[SAL_PROM_SOL]]</f>
        <v>8959424.0069999993</v>
      </c>
      <c r="T8" s="4">
        <v>3.0700000000000002E-2</v>
      </c>
      <c r="U8" s="4">
        <v>3.2000000000000002E-3</v>
      </c>
      <c r="V8" s="3">
        <v>24910.9313</v>
      </c>
      <c r="W8" s="3">
        <v>22623.402099999999</v>
      </c>
      <c r="X8" s="3">
        <v>2287.5291999999999</v>
      </c>
      <c r="Y8" s="3">
        <v>0</v>
      </c>
      <c r="Z8" s="3">
        <v>2287.5291999999999</v>
      </c>
      <c r="AA8">
        <v>30</v>
      </c>
      <c r="AB8" t="b">
        <f t="shared" si="1"/>
        <v>1</v>
      </c>
      <c r="AC8" s="3">
        <v>2500000</v>
      </c>
      <c r="AD8" t="s">
        <v>45</v>
      </c>
      <c r="AE8" s="8">
        <v>46155.560022106481</v>
      </c>
      <c r="AF8" s="6">
        <f t="shared" ref="AF8:AF10" si="5">S8/AC8</f>
        <v>3.5837696027999999</v>
      </c>
      <c r="AG8" s="6" t="b">
        <f>+Tabla9[[#This Row],[CUMPLIMIENTO]]&lt;100%</f>
        <v>0</v>
      </c>
      <c r="AH8" s="12">
        <f>((( (Tabla9[[#This Row],[FTP_CIERRE_MES]]/100)+1)^(30/360) -1)*(36000/30))/36000</f>
        <v>9.2680593701059222E-5</v>
      </c>
      <c r="AI8" s="3">
        <f>Tabla9[[#This Row],[FTP_DIARIO]]*Tabla9[[#This Row],[SALDO_PROM_CORREGIDO]]*Tabla9[[#This Row],[DIAS]]</f>
        <v>24910.942085648487</v>
      </c>
      <c r="AJ8" s="3">
        <f>Tabla9[[#This Row],[REAL_FTP_MONTO]]-Tabla9[[#This Row],[INT_REAL]]</f>
        <v>2287.5399856484873</v>
      </c>
      <c r="AK8" s="3">
        <f>Tabla9[[#This Row],[FTP_DIARIO]]*Tabla9[[#This Row],[COMPROMISO]]*Tabla9[[#This Row],[DIAS]]</f>
        <v>6951.0445275794409</v>
      </c>
      <c r="AL8" s="13">
        <f>((( (Tabla9[[#This Row],[TASA_INT]])+1)^(30/360) -1)*(36000/30))/36000</f>
        <v>8.4100869173542314E-5</v>
      </c>
      <c r="AM8" s="3">
        <f>Tabla9[[#This Row],[TEA DIARIA]]*Tabla9[[#This Row],[SALDO_PROM_CORREGIDO]]*Tabla9[[#This Row],[DIAS]]</f>
        <v>22604.860388490037</v>
      </c>
      <c r="AN8" s="3">
        <f>Tabla9[[#This Row],[TEA DIARIA]]*Tabla9[[#This Row],[COMPROMISO]]*Tabla9[[#This Row],[DIAS]]</f>
        <v>6307.5651880156729</v>
      </c>
      <c r="AO8" s="14">
        <f>+Tabla9[[#This Row],[PROYECTADO_FTP_MONTO]]-Tabla9[[#This Row],[PROYECCION_INTERES]]</f>
        <v>643.47933956376801</v>
      </c>
      <c r="AP8" s="3">
        <f>Tabla9[[#This Row],[PROYECCION_MARGEN(FTP - Int compromiso)]]-Tabla9[[#This Row],[REAL_MARGEN(FTP - Int)]]</f>
        <v>-1644.0606460847193</v>
      </c>
    </row>
    <row r="9" spans="1:42" x14ac:dyDescent="0.35">
      <c r="A9">
        <v>202604</v>
      </c>
      <c r="B9" s="7">
        <v>46142</v>
      </c>
      <c r="C9">
        <v>349274</v>
      </c>
      <c r="D9" t="s">
        <v>42</v>
      </c>
      <c r="E9" t="s">
        <v>48</v>
      </c>
      <c r="F9" t="s">
        <v>70</v>
      </c>
      <c r="G9" t="s">
        <v>48</v>
      </c>
      <c r="H9" t="s">
        <v>493</v>
      </c>
      <c r="I9" t="s">
        <v>243</v>
      </c>
      <c r="J9" t="str">
        <f t="shared" si="4"/>
        <v>4.4963</v>
      </c>
      <c r="K9" t="s">
        <v>32</v>
      </c>
      <c r="L9" t="s">
        <v>33</v>
      </c>
      <c r="M9" t="s">
        <v>31</v>
      </c>
      <c r="N9" t="s">
        <v>252</v>
      </c>
      <c r="O9" t="s">
        <v>44</v>
      </c>
      <c r="P9" s="3">
        <v>620945.40119999996</v>
      </c>
      <c r="Q9" s="3">
        <v>238594.34</v>
      </c>
      <c r="R9" s="4">
        <v>4.4999999999999998E-2</v>
      </c>
      <c r="S9" s="3">
        <f>+Tabla9[[#This Row],[SAL_PROM_SOL]]</f>
        <v>620945.40119999996</v>
      </c>
      <c r="T9" s="4">
        <v>2.0999999999999999E-3</v>
      </c>
      <c r="U9" s="4">
        <v>4.2900000000000001E-2</v>
      </c>
      <c r="V9" s="3">
        <v>2280.02</v>
      </c>
      <c r="W9" s="3">
        <v>109.119</v>
      </c>
      <c r="X9" s="3">
        <v>2170.9009999999998</v>
      </c>
      <c r="Y9" s="3">
        <v>43.9499</v>
      </c>
      <c r="Z9" s="3">
        <v>2126.9511000000002</v>
      </c>
      <c r="AA9">
        <v>2</v>
      </c>
      <c r="AB9" t="b">
        <f t="shared" si="1"/>
        <v>0</v>
      </c>
      <c r="AC9" s="3">
        <v>1000000</v>
      </c>
      <c r="AD9" t="s">
        <v>45</v>
      </c>
      <c r="AE9" s="8">
        <v>46155.560022106481</v>
      </c>
      <c r="AF9" s="6">
        <f t="shared" si="5"/>
        <v>0.62094540119999997</v>
      </c>
      <c r="AG9" s="6" t="b">
        <f>+Tabla9[[#This Row],[CUMPLIMIENTO]]&lt;100%</f>
        <v>1</v>
      </c>
      <c r="AH9" s="12">
        <f>((( (Tabla9[[#This Row],[FTP_CIERRE_MES]]/100)+1)^(30/360) -1)*(36000/30))/36000</f>
        <v>1.2239493171416853E-4</v>
      </c>
      <c r="AI9" s="3">
        <f>Tabla9[[#This Row],[FTP_DIARIO]]*Tabla9[[#This Row],[SALDO_PROM_CORREGIDO]]*Tabla9[[#This Row],[DIAS]]</f>
        <v>152.00113995620194</v>
      </c>
      <c r="AJ9" s="3">
        <f>Tabla9[[#This Row],[REAL_FTP_MONTO]]-Tabla9[[#This Row],[INT_REAL]]</f>
        <v>42.882139956201939</v>
      </c>
      <c r="AK9" s="3">
        <f>Tabla9[[#This Row],[FTP_DIARIO]]*Tabla9[[#This Row],[COMPROMISO]]*Tabla9[[#This Row],[DIAS]]</f>
        <v>244.78986342833704</v>
      </c>
      <c r="AL9" s="13">
        <f>((( (Tabla9[[#This Row],[TASA_INT]])+1)^(30/360) -1)*(36000/30))/36000</f>
        <v>5.8277262713864649E-6</v>
      </c>
      <c r="AM9" s="3">
        <f>Tabla9[[#This Row],[TEA DIARIA]]*Tabla9[[#This Row],[SALDO_PROM_CORREGIDO]]*Tabla9[[#This Row],[DIAS]]</f>
        <v>7.2373996553396971</v>
      </c>
      <c r="AN9" s="3">
        <f>Tabla9[[#This Row],[TEA DIARIA]]*Tabla9[[#This Row],[COMPROMISO]]*Tabla9[[#This Row],[DIAS]]</f>
        <v>11.655452542772929</v>
      </c>
      <c r="AO9" s="14">
        <f>+Tabla9[[#This Row],[PROYECTADO_FTP_MONTO]]-Tabla9[[#This Row],[PROYECCION_INTERES]]</f>
        <v>233.13441088556411</v>
      </c>
      <c r="AP9" s="3">
        <f>Tabla9[[#This Row],[PROYECCION_MARGEN(FTP - Int compromiso)]]-Tabla9[[#This Row],[REAL_MARGEN(FTP - Int)]]</f>
        <v>190.25227092936217</v>
      </c>
    </row>
    <row r="10" spans="1:42" x14ac:dyDescent="0.35">
      <c r="A10">
        <v>202604</v>
      </c>
      <c r="B10" s="7">
        <v>46142</v>
      </c>
      <c r="C10">
        <v>401497</v>
      </c>
      <c r="D10" t="s">
        <v>42</v>
      </c>
      <c r="E10" t="s">
        <v>47</v>
      </c>
      <c r="F10" t="s">
        <v>71</v>
      </c>
      <c r="G10" t="s">
        <v>47</v>
      </c>
      <c r="H10" t="s">
        <v>494</v>
      </c>
      <c r="I10" t="s">
        <v>243</v>
      </c>
      <c r="J10" t="str">
        <f t="shared" si="4"/>
        <v>4.4963</v>
      </c>
      <c r="K10" t="s">
        <v>32</v>
      </c>
      <c r="L10" t="s">
        <v>33</v>
      </c>
      <c r="M10" t="s">
        <v>31</v>
      </c>
      <c r="N10" t="s">
        <v>253</v>
      </c>
      <c r="O10" t="s">
        <v>44</v>
      </c>
      <c r="P10" s="3">
        <v>90458888.868599996</v>
      </c>
      <c r="Q10" s="3">
        <v>77235686.650000006</v>
      </c>
      <c r="R10" s="4">
        <v>4.4999999999999998E-2</v>
      </c>
      <c r="S10" s="3">
        <f>+Tabla9[[#This Row],[SAL_PROM_SOL]]</f>
        <v>90458888.868599996</v>
      </c>
      <c r="T10" s="4">
        <v>3.1899999999999998E-2</v>
      </c>
      <c r="U10" s="4">
        <v>1.3100000000000001E-2</v>
      </c>
      <c r="V10" s="3">
        <v>332151.28840000002</v>
      </c>
      <c r="W10" s="3">
        <v>236928.2684</v>
      </c>
      <c r="X10" s="3">
        <v>95223.02</v>
      </c>
      <c r="Y10" s="3">
        <v>43.9499</v>
      </c>
      <c r="Z10" s="3">
        <v>95179.070099999997</v>
      </c>
      <c r="AA10">
        <v>30</v>
      </c>
      <c r="AB10" t="b">
        <f t="shared" si="1"/>
        <v>1</v>
      </c>
      <c r="AC10" s="3">
        <v>70000000</v>
      </c>
      <c r="AD10" t="s">
        <v>46</v>
      </c>
      <c r="AE10" s="8">
        <v>46155.560022106481</v>
      </c>
      <c r="AF10" s="6">
        <f t="shared" si="5"/>
        <v>1.29226984098</v>
      </c>
      <c r="AG10" s="6" t="b">
        <f>+Tabla9[[#This Row],[CUMPLIMIENTO]]&lt;100%</f>
        <v>0</v>
      </c>
      <c r="AH10" s="12">
        <f>((( (Tabla9[[#This Row],[FTP_CIERRE_MES]]/100)+1)^(30/360) -1)*(36000/30))/36000</f>
        <v>1.2239493171416853E-4</v>
      </c>
      <c r="AI10" s="3">
        <f>Tabla9[[#This Row],[FTP_DIARIO]]*Tabla9[[#This Row],[SALDO_PROM_CORREGIDO]]*Tabla9[[#This Row],[DIAS]]</f>
        <v>332151.28578035568</v>
      </c>
      <c r="AJ10" s="3">
        <f>Tabla9[[#This Row],[REAL_FTP_MONTO]]-Tabla9[[#This Row],[INT_REAL]]</f>
        <v>95223.017380355683</v>
      </c>
      <c r="AK10" s="3">
        <f>Tabla9[[#This Row],[FTP_DIARIO]]*Tabla9[[#This Row],[COMPROMISO]]*Tabla9[[#This Row],[DIAS]]</f>
        <v>257029.3565997539</v>
      </c>
      <c r="AL10" s="13">
        <f>((( (Tabla9[[#This Row],[TASA_INT]])+1)^(30/360) -1)*(36000/30))/36000</f>
        <v>8.7341348004758382E-5</v>
      </c>
      <c r="AM10" s="3">
        <f>Tabla9[[#This Row],[TEA DIARIA]]*Tabla9[[#This Row],[SALDO_PROM_CORREGIDO]]*Tabla9[[#This Row],[DIAS]]</f>
        <v>237024.03878388469</v>
      </c>
      <c r="AN10" s="3">
        <f>Tabla9[[#This Row],[TEA DIARIA]]*Tabla9[[#This Row],[COMPROMISO]]*Tabla9[[#This Row],[DIAS]]</f>
        <v>183416.83080999259</v>
      </c>
      <c r="AO10" s="14">
        <f>+Tabla9[[#This Row],[PROYECTADO_FTP_MONTO]]-Tabla9[[#This Row],[PROYECCION_INTERES]]</f>
        <v>73612.525789761305</v>
      </c>
      <c r="AP10" s="3">
        <f>Tabla9[[#This Row],[PROYECCION_MARGEN(FTP - Int compromiso)]]-Tabla9[[#This Row],[REAL_MARGEN(FTP - Int)]]</f>
        <v>-21610.491590594378</v>
      </c>
    </row>
    <row r="11" spans="1:42" x14ac:dyDescent="0.35">
      <c r="A11">
        <v>202604</v>
      </c>
      <c r="B11" s="7">
        <v>46142</v>
      </c>
      <c r="C11">
        <v>530253</v>
      </c>
      <c r="D11" t="s">
        <v>42</v>
      </c>
      <c r="E11" t="s">
        <v>47</v>
      </c>
      <c r="F11" t="s">
        <v>71</v>
      </c>
      <c r="G11" t="s">
        <v>47</v>
      </c>
      <c r="H11" t="s">
        <v>494</v>
      </c>
      <c r="I11" t="s">
        <v>243</v>
      </c>
      <c r="J11" t="str">
        <f t="shared" ref="J11" si="6">IF(I11="SOLES","4.4963","3.388")</f>
        <v>4.4963</v>
      </c>
      <c r="K11" t="s">
        <v>32</v>
      </c>
      <c r="L11" t="s">
        <v>33</v>
      </c>
      <c r="M11" t="s">
        <v>31</v>
      </c>
      <c r="N11" t="s">
        <v>254</v>
      </c>
      <c r="O11" t="s">
        <v>44</v>
      </c>
      <c r="P11" s="3">
        <v>4657212.2188999997</v>
      </c>
      <c r="Q11" s="3">
        <v>2841829.02</v>
      </c>
      <c r="R11" s="4">
        <v>4.4999999999999998E-2</v>
      </c>
      <c r="S11" s="3">
        <f>+Tabla9[[#This Row],[SAL_PROM_SOL]]</f>
        <v>4657212.2188999997</v>
      </c>
      <c r="T11" s="4">
        <v>4.1200000000000001E-2</v>
      </c>
      <c r="U11" s="4">
        <v>3.8E-3</v>
      </c>
      <c r="V11" s="3">
        <v>17100.578799999999</v>
      </c>
      <c r="W11" s="3">
        <v>15678</v>
      </c>
      <c r="X11" s="3">
        <v>1422.5788</v>
      </c>
      <c r="Y11" s="3">
        <v>43.9499</v>
      </c>
      <c r="Z11" s="3">
        <v>1378.6288999999999</v>
      </c>
      <c r="AA11">
        <v>30</v>
      </c>
      <c r="AB11" t="b">
        <f t="shared" si="1"/>
        <v>1</v>
      </c>
      <c r="AC11" s="3">
        <v>5000000</v>
      </c>
      <c r="AD11" t="s">
        <v>46</v>
      </c>
      <c r="AE11" s="8">
        <v>46155.560022106481</v>
      </c>
      <c r="AF11" s="6">
        <f t="shared" ref="AF11" si="7">S11/AC11</f>
        <v>0.93144244377999996</v>
      </c>
      <c r="AG11" s="6" t="b">
        <f>+Tabla9[[#This Row],[CUMPLIMIENTO]]&lt;100%</f>
        <v>1</v>
      </c>
      <c r="AH11" s="12">
        <f>((( (Tabla9[[#This Row],[FTP_CIERRE_MES]]/100)+1)^(30/360) -1)*(36000/30))/36000</f>
        <v>1.2239493171416853E-4</v>
      </c>
      <c r="AI11" s="3">
        <f>Tabla9[[#This Row],[FTP_DIARIO]]*Tabla9[[#This Row],[SALDO_PROM_CORREGIDO]]*Tabla9[[#This Row],[DIAS]]</f>
        <v>17100.575145319701</v>
      </c>
      <c r="AJ11" s="3">
        <f>Tabla9[[#This Row],[REAL_FTP_MONTO]]-Tabla9[[#This Row],[INT_REAL]]</f>
        <v>1422.5751453197008</v>
      </c>
      <c r="AK11" s="3">
        <f>Tabla9[[#This Row],[FTP_DIARIO]]*Tabla9[[#This Row],[COMPROMISO]]*Tabla9[[#This Row],[DIAS]]</f>
        <v>18359.23975712528</v>
      </c>
      <c r="AL11" s="13">
        <f>((( (Tabla9[[#This Row],[TASA_INT]])+1)^(30/360) -1)*(36000/30))/36000</f>
        <v>1.1233858105126337E-4</v>
      </c>
      <c r="AM11" s="3">
        <f>Tabla9[[#This Row],[TEA DIARIA]]*Tabla9[[#This Row],[SALDO_PROM_CORREGIDO]]*Tabla9[[#This Row],[DIAS]]</f>
        <v>15695.538369774951</v>
      </c>
      <c r="AN11" s="3">
        <f>Tabla9[[#This Row],[TEA DIARIA]]*Tabla9[[#This Row],[COMPROMISO]]*Tabla9[[#This Row],[DIAS]]</f>
        <v>16850.787157689505</v>
      </c>
      <c r="AO11" s="14">
        <f>+Tabla9[[#This Row],[PROYECTADO_FTP_MONTO]]-Tabla9[[#This Row],[PROYECCION_INTERES]]</f>
        <v>1508.4525994357755</v>
      </c>
      <c r="AP11" s="3">
        <f>Tabla9[[#This Row],[PROYECCION_MARGEN(FTP - Int compromiso)]]-Tabla9[[#This Row],[REAL_MARGEN(FTP - Int)]]</f>
        <v>85.877454116074659</v>
      </c>
    </row>
    <row r="12" spans="1:42" x14ac:dyDescent="0.35">
      <c r="A12">
        <v>202604</v>
      </c>
      <c r="B12" s="7">
        <v>46142</v>
      </c>
      <c r="C12">
        <v>926881</v>
      </c>
      <c r="D12" t="s">
        <v>42</v>
      </c>
      <c r="E12" t="s">
        <v>48</v>
      </c>
      <c r="F12" t="s">
        <v>72</v>
      </c>
      <c r="G12" t="s">
        <v>48</v>
      </c>
      <c r="H12" t="s">
        <v>495</v>
      </c>
      <c r="I12" t="s">
        <v>243</v>
      </c>
      <c r="J12" t="str">
        <f t="shared" ref="J12:J14" si="8">IF(I12="SOLES","4.4963","3.388")</f>
        <v>4.4963</v>
      </c>
      <c r="K12" t="s">
        <v>32</v>
      </c>
      <c r="L12" t="s">
        <v>33</v>
      </c>
      <c r="M12" t="s">
        <v>31</v>
      </c>
      <c r="N12" t="s">
        <v>255</v>
      </c>
      <c r="O12" t="s">
        <v>44</v>
      </c>
      <c r="P12" s="3">
        <v>4881862.6701999996</v>
      </c>
      <c r="Q12" s="3">
        <v>4897451.49</v>
      </c>
      <c r="R12" s="4">
        <v>4.4999999999999998E-2</v>
      </c>
      <c r="S12" s="3">
        <f>+Tabla9[[#This Row],[SAL_PROM_SOL]]</f>
        <v>4881862.6701999996</v>
      </c>
      <c r="T12" s="4">
        <v>4.0500000000000001E-2</v>
      </c>
      <c r="U12" s="4">
        <v>4.4999999999999997E-3</v>
      </c>
      <c r="V12" s="3">
        <v>17925.459599999998</v>
      </c>
      <c r="W12" s="3">
        <v>16176.360500000001</v>
      </c>
      <c r="X12" s="3">
        <v>1749.0990999999999</v>
      </c>
      <c r="Y12" s="3">
        <v>0</v>
      </c>
      <c r="Z12" s="3">
        <v>1749.0990999999999</v>
      </c>
      <c r="AA12">
        <v>30</v>
      </c>
      <c r="AB12" t="b">
        <f t="shared" si="1"/>
        <v>1</v>
      </c>
      <c r="AC12" s="3">
        <v>4865452</v>
      </c>
      <c r="AD12" t="s">
        <v>46</v>
      </c>
      <c r="AE12" s="8">
        <v>46155.560022106481</v>
      </c>
      <c r="AF12" s="6">
        <f t="shared" ref="AF12:AF14" si="9">S12/AC12</f>
        <v>1.0033728973587654</v>
      </c>
      <c r="AG12" s="6" t="b">
        <f>+Tabla9[[#This Row],[CUMPLIMIENTO]]&lt;100%</f>
        <v>0</v>
      </c>
      <c r="AH12" s="12">
        <f>((( (Tabla9[[#This Row],[FTP_CIERRE_MES]]/100)+1)^(30/360) -1)*(36000/30))/36000</f>
        <v>1.2239493171416853E-4</v>
      </c>
      <c r="AI12" s="3">
        <f>Tabla9[[#This Row],[FTP_DIARIO]]*Tabla9[[#This Row],[SALDO_PROM_CORREGIDO]]*Tabla9[[#This Row],[DIAS]]</f>
        <v>17925.457444712323</v>
      </c>
      <c r="AJ12" s="3">
        <f>Tabla9[[#This Row],[REAL_FTP_MONTO]]-Tabla9[[#This Row],[INT_REAL]]</f>
        <v>1749.0969447123225</v>
      </c>
      <c r="AK12" s="3">
        <f>Tabla9[[#This Row],[FTP_DIARIO]]*Tabla9[[#This Row],[COMPROMISO]]*Tabla9[[#This Row],[DIAS]]</f>
        <v>17865.199958956942</v>
      </c>
      <c r="AL12" s="13">
        <f>((( (Tabla9[[#This Row],[TASA_INT]])+1)^(30/360) -1)*(36000/30))/36000</f>
        <v>1.1046420632666217E-4</v>
      </c>
      <c r="AM12" s="3">
        <f>Tabla9[[#This Row],[TEA DIARIA]]*Tabla9[[#This Row],[SALDO_PROM_CORREGIDO]]*Tabla9[[#This Row],[DIAS]]</f>
        <v>16178.132557782079</v>
      </c>
      <c r="AN12" s="3">
        <f>Tabla9[[#This Row],[TEA DIARIA]]*Tabla9[[#This Row],[COMPROMISO]]*Tabla9[[#This Row],[DIAS]]</f>
        <v>16123.748808014132</v>
      </c>
      <c r="AO12" s="14">
        <f>+Tabla9[[#This Row],[PROYECTADO_FTP_MONTO]]-Tabla9[[#This Row],[PROYECCION_INTERES]]</f>
        <v>1741.4511509428103</v>
      </c>
      <c r="AP12" s="3">
        <f>Tabla9[[#This Row],[PROYECCION_MARGEN(FTP - Int compromiso)]]-Tabla9[[#This Row],[REAL_MARGEN(FTP - Int)]]</f>
        <v>-7.6457937695122382</v>
      </c>
    </row>
    <row r="13" spans="1:42" x14ac:dyDescent="0.35">
      <c r="A13">
        <v>202604</v>
      </c>
      <c r="B13" s="7">
        <v>46142</v>
      </c>
      <c r="C13">
        <v>926881</v>
      </c>
      <c r="D13" t="s">
        <v>42</v>
      </c>
      <c r="E13" t="s">
        <v>48</v>
      </c>
      <c r="F13" t="s">
        <v>72</v>
      </c>
      <c r="G13" t="s">
        <v>48</v>
      </c>
      <c r="H13" t="s">
        <v>495</v>
      </c>
      <c r="I13" t="s">
        <v>243</v>
      </c>
      <c r="J13" t="str">
        <f t="shared" si="8"/>
        <v>4.4963</v>
      </c>
      <c r="K13" t="s">
        <v>32</v>
      </c>
      <c r="L13" t="s">
        <v>33</v>
      </c>
      <c r="M13" t="s">
        <v>31</v>
      </c>
      <c r="N13" t="s">
        <v>256</v>
      </c>
      <c r="O13" t="s">
        <v>44</v>
      </c>
      <c r="P13" s="3">
        <v>9008419.5702999998</v>
      </c>
      <c r="Q13" s="3">
        <v>9040417.5700000003</v>
      </c>
      <c r="R13" s="4">
        <v>4.4999999999999998E-2</v>
      </c>
      <c r="S13" s="3">
        <f>+Tabla9[[#This Row],[SAL_PROM_SOL]]</f>
        <v>9008419.5702999998</v>
      </c>
      <c r="T13" s="4">
        <v>4.0500000000000001E-2</v>
      </c>
      <c r="U13" s="4">
        <v>4.4999999999999997E-3</v>
      </c>
      <c r="V13" s="3">
        <v>33077.548300000002</v>
      </c>
      <c r="W13" s="3">
        <v>29849.949199999999</v>
      </c>
      <c r="X13" s="3">
        <v>3227.5990999999999</v>
      </c>
      <c r="Y13" s="3">
        <v>0</v>
      </c>
      <c r="Z13" s="3">
        <v>3227.5990999999999</v>
      </c>
      <c r="AA13">
        <v>30</v>
      </c>
      <c r="AB13" t="b">
        <f t="shared" si="1"/>
        <v>1</v>
      </c>
      <c r="AC13" s="3">
        <v>8000000</v>
      </c>
      <c r="AD13" t="s">
        <v>46</v>
      </c>
      <c r="AE13" s="8">
        <v>46155.560022106481</v>
      </c>
      <c r="AF13" s="6">
        <f t="shared" si="9"/>
        <v>1.1260524462874999</v>
      </c>
      <c r="AG13" s="6" t="b">
        <f>+Tabla9[[#This Row],[CUMPLIMIENTO]]&lt;100%</f>
        <v>0</v>
      </c>
      <c r="AH13" s="12">
        <f>((( (Tabla9[[#This Row],[FTP_CIERRE_MES]]/100)+1)^(30/360) -1)*(36000/30))/36000</f>
        <v>1.2239493171416853E-4</v>
      </c>
      <c r="AI13" s="3">
        <f>Tabla9[[#This Row],[FTP_DIARIO]]*Tabla9[[#This Row],[SALDO_PROM_CORREGIDO]]*Tabla9[[#This Row],[DIAS]]</f>
        <v>33077.54694478344</v>
      </c>
      <c r="AJ13" s="3">
        <f>Tabla9[[#This Row],[REAL_FTP_MONTO]]-Tabla9[[#This Row],[INT_REAL]]</f>
        <v>3227.5977447834412</v>
      </c>
      <c r="AK13" s="3">
        <f>Tabla9[[#This Row],[FTP_DIARIO]]*Tabla9[[#This Row],[COMPROMISO]]*Tabla9[[#This Row],[DIAS]]</f>
        <v>29374.783611400446</v>
      </c>
      <c r="AL13" s="13">
        <f>((( (Tabla9[[#This Row],[TASA_INT]])+1)^(30/360) -1)*(36000/30))/36000</f>
        <v>1.1046420632666217E-4</v>
      </c>
      <c r="AM13" s="3">
        <f>Tabla9[[#This Row],[TEA DIARIA]]*Tabla9[[#This Row],[SALDO_PROM_CORREGIDO]]*Tabla9[[#This Row],[DIAS]]</f>
        <v>29853.237542722818</v>
      </c>
      <c r="AN13" s="3">
        <f>Tabla9[[#This Row],[TEA DIARIA]]*Tabla9[[#This Row],[COMPROMISO]]*Tabla9[[#This Row],[DIAS]]</f>
        <v>26511.409518398919</v>
      </c>
      <c r="AO13" s="14">
        <f>+Tabla9[[#This Row],[PROYECTADO_FTP_MONTO]]-Tabla9[[#This Row],[PROYECCION_INTERES]]</f>
        <v>2863.3740930015265</v>
      </c>
      <c r="AP13" s="3">
        <f>Tabla9[[#This Row],[PROYECCION_MARGEN(FTP - Int compromiso)]]-Tabla9[[#This Row],[REAL_MARGEN(FTP - Int)]]</f>
        <v>-364.22365178191467</v>
      </c>
    </row>
    <row r="14" spans="1:42" x14ac:dyDescent="0.35">
      <c r="A14">
        <v>202604</v>
      </c>
      <c r="B14" s="7">
        <v>46142</v>
      </c>
      <c r="C14">
        <v>926881</v>
      </c>
      <c r="D14" t="s">
        <v>42</v>
      </c>
      <c r="E14" t="s">
        <v>48</v>
      </c>
      <c r="F14" t="s">
        <v>72</v>
      </c>
      <c r="G14" t="s">
        <v>48</v>
      </c>
      <c r="H14" t="s">
        <v>495</v>
      </c>
      <c r="I14" t="s">
        <v>243</v>
      </c>
      <c r="J14" t="str">
        <f t="shared" si="8"/>
        <v>4.4963</v>
      </c>
      <c r="K14" t="s">
        <v>32</v>
      </c>
      <c r="L14" t="s">
        <v>33</v>
      </c>
      <c r="M14" t="s">
        <v>31</v>
      </c>
      <c r="N14" t="s">
        <v>257</v>
      </c>
      <c r="O14" t="s">
        <v>44</v>
      </c>
      <c r="P14" s="3">
        <v>7327535.8288000003</v>
      </c>
      <c r="Q14" s="3">
        <v>7345580.6600000001</v>
      </c>
      <c r="R14" s="4">
        <v>4.4999999999999998E-2</v>
      </c>
      <c r="S14" s="3">
        <f>+Tabla9[[#This Row],[SAL_PROM_SOL]]</f>
        <v>7327535.8288000003</v>
      </c>
      <c r="T14" s="4">
        <v>3.1099999999999999E-2</v>
      </c>
      <c r="U14" s="4">
        <v>1.3899999999999999E-2</v>
      </c>
      <c r="V14" s="3">
        <v>26905.598900000001</v>
      </c>
      <c r="W14" s="3">
        <v>18717.060399999998</v>
      </c>
      <c r="X14" s="3">
        <v>8188.5384999999997</v>
      </c>
      <c r="Y14" s="3">
        <v>0</v>
      </c>
      <c r="Z14" s="3">
        <v>8188.5384999999997</v>
      </c>
      <c r="AA14">
        <v>30</v>
      </c>
      <c r="AB14" t="b">
        <f t="shared" si="1"/>
        <v>1</v>
      </c>
      <c r="AC14" s="3">
        <v>5134548</v>
      </c>
      <c r="AD14" t="s">
        <v>46</v>
      </c>
      <c r="AE14" s="8">
        <v>46155.560022106481</v>
      </c>
      <c r="AF14" s="6">
        <f t="shared" si="9"/>
        <v>1.4271043583193692</v>
      </c>
      <c r="AG14" s="6" t="b">
        <f>+Tabla9[[#This Row],[CUMPLIMIENTO]]&lt;100%</f>
        <v>0</v>
      </c>
      <c r="AH14" s="12">
        <f>((( (Tabla9[[#This Row],[FTP_CIERRE_MES]]/100)+1)^(30/360) -1)*(36000/30))/36000</f>
        <v>1.2239493171416853E-4</v>
      </c>
      <c r="AI14" s="3">
        <f>Tabla9[[#This Row],[FTP_DIARIO]]*Tabla9[[#This Row],[SALDO_PROM_CORREGIDO]]*Tabla9[[#This Row],[DIAS]]</f>
        <v>26905.597421972976</v>
      </c>
      <c r="AJ14" s="3">
        <f>Tabla9[[#This Row],[REAL_FTP_MONTO]]-Tabla9[[#This Row],[INT_REAL]]</f>
        <v>8188.5370219729775</v>
      </c>
      <c r="AK14" s="3">
        <f>Tabla9[[#This Row],[FTP_DIARIO]]*Tabla9[[#This Row],[COMPROMISO]]*Tabla9[[#This Row],[DIAS]]</f>
        <v>18853.279555293615</v>
      </c>
      <c r="AL14" s="13">
        <f>((( (Tabla9[[#This Row],[TASA_INT]])+1)^(30/360) -1)*(36000/30))/36000</f>
        <v>8.5181412869691123E-5</v>
      </c>
      <c r="AM14" s="3">
        <f>Tabla9[[#This Row],[TEA DIARIA]]*Tabla9[[#This Row],[SALDO_PROM_CORREGIDO]]*Tabla9[[#This Row],[DIAS]]</f>
        <v>18725.095642514014</v>
      </c>
      <c r="AN14" s="3">
        <f>Tabla9[[#This Row],[TEA DIARIA]]*Tabla9[[#This Row],[COMPROMISO]]*Tabla9[[#This Row],[DIAS]]</f>
        <v>13121.041592617405</v>
      </c>
      <c r="AO14" s="14">
        <f>+Tabla9[[#This Row],[PROYECTADO_FTP_MONTO]]-Tabla9[[#This Row],[PROYECCION_INTERES]]</f>
        <v>5732.2379626762104</v>
      </c>
      <c r="AP14" s="3">
        <f>Tabla9[[#This Row],[PROYECCION_MARGEN(FTP - Int compromiso)]]-Tabla9[[#This Row],[REAL_MARGEN(FTP - Int)]]</f>
        <v>-2456.2990592967672</v>
      </c>
    </row>
    <row r="15" spans="1:42" x14ac:dyDescent="0.35">
      <c r="A15">
        <v>202604</v>
      </c>
      <c r="B15" s="7">
        <v>46142</v>
      </c>
      <c r="C15">
        <v>963181</v>
      </c>
      <c r="D15" t="s">
        <v>36</v>
      </c>
      <c r="E15" t="s">
        <v>37</v>
      </c>
      <c r="F15" t="s">
        <v>73</v>
      </c>
      <c r="G15" t="s">
        <v>37</v>
      </c>
      <c r="H15" t="s">
        <v>491</v>
      </c>
      <c r="I15" t="s">
        <v>243</v>
      </c>
      <c r="J15" t="str">
        <f t="shared" ref="J15" si="10">IF(I15="SOLES","4.4963","3.388")</f>
        <v>4.4963</v>
      </c>
      <c r="K15" t="s">
        <v>32</v>
      </c>
      <c r="L15" t="s">
        <v>33</v>
      </c>
      <c r="M15" t="s">
        <v>31</v>
      </c>
      <c r="N15" t="s">
        <v>258</v>
      </c>
      <c r="O15" t="s">
        <v>44</v>
      </c>
      <c r="P15" s="3">
        <v>365702.05979999999</v>
      </c>
      <c r="Q15" s="3">
        <v>234124.04</v>
      </c>
      <c r="R15" s="4">
        <v>4.4999999999999998E-2</v>
      </c>
      <c r="S15" s="3">
        <f>+Tabla9[[#This Row],[SAL_PROM_SOL]]</f>
        <v>365702.05979999999</v>
      </c>
      <c r="T15" s="4">
        <v>2.2000000000000001E-3</v>
      </c>
      <c r="U15" s="4">
        <v>4.2799999999999998E-2</v>
      </c>
      <c r="V15" s="3">
        <v>1342.8009999999999</v>
      </c>
      <c r="W15" s="3">
        <v>65.940299999999993</v>
      </c>
      <c r="X15" s="3">
        <v>1276.8607</v>
      </c>
      <c r="Y15" s="3">
        <v>43.9499</v>
      </c>
      <c r="Z15" s="3">
        <v>1232.9108000000001</v>
      </c>
      <c r="AA15">
        <v>30</v>
      </c>
      <c r="AB15" t="b">
        <f t="shared" si="1"/>
        <v>1</v>
      </c>
      <c r="AC15" s="3">
        <v>1000000</v>
      </c>
      <c r="AD15" t="s">
        <v>45</v>
      </c>
      <c r="AE15" s="8">
        <v>46155.560022106481</v>
      </c>
      <c r="AF15" s="6">
        <f t="shared" ref="AF15:AF16" si="11">S15/AC15</f>
        <v>0.36570205979999998</v>
      </c>
      <c r="AG15" s="6" t="b">
        <f>+Tabla9[[#This Row],[CUMPLIMIENTO]]&lt;100%</f>
        <v>1</v>
      </c>
      <c r="AH15" s="12">
        <f>((( (Tabla9[[#This Row],[FTP_CIERRE_MES]]/100)+1)^(30/360) -1)*(36000/30))/36000</f>
        <v>1.2239493171416853E-4</v>
      </c>
      <c r="AI15" s="3">
        <f>Tabla9[[#This Row],[FTP_DIARIO]]*Tabla9[[#This Row],[SALDO_PROM_CORREGIDO]]*Tabla9[[#This Row],[DIAS]]</f>
        <v>1342.8023591085532</v>
      </c>
      <c r="AJ15" s="3">
        <f>Tabla9[[#This Row],[REAL_FTP_MONTO]]-Tabla9[[#This Row],[INT_REAL]]</f>
        <v>1276.8620591085532</v>
      </c>
      <c r="AK15" s="3">
        <f>Tabla9[[#This Row],[FTP_DIARIO]]*Tabla9[[#This Row],[COMPROMISO]]*Tabla9[[#This Row],[DIAS]]</f>
        <v>3671.8479514250557</v>
      </c>
      <c r="AL15" s="13">
        <f>((( (Tabla9[[#This Row],[TASA_INT]])+1)^(30/360) -1)*(36000/30))/36000</f>
        <v>6.1049577212868302E-6</v>
      </c>
      <c r="AM15" s="3">
        <f>Tabla9[[#This Row],[TEA DIARIA]]*Tabla9[[#This Row],[SALDO_PROM_CORREGIDO]]*Tabla9[[#This Row],[DIAS]]</f>
        <v>66.977868409995239</v>
      </c>
      <c r="AN15" s="3">
        <f>Tabla9[[#This Row],[TEA DIARIA]]*Tabla9[[#This Row],[COMPROMISO]]*Tabla9[[#This Row],[DIAS]]</f>
        <v>183.14873163860489</v>
      </c>
      <c r="AO15" s="14">
        <f>+Tabla9[[#This Row],[PROYECTADO_FTP_MONTO]]-Tabla9[[#This Row],[PROYECCION_INTERES]]</f>
        <v>3488.6992197864511</v>
      </c>
      <c r="AP15" s="3">
        <f>Tabla9[[#This Row],[PROYECCION_MARGEN(FTP - Int compromiso)]]-Tabla9[[#This Row],[REAL_MARGEN(FTP - Int)]]</f>
        <v>2211.8371606778978</v>
      </c>
    </row>
    <row r="16" spans="1:42" x14ac:dyDescent="0.35">
      <c r="A16">
        <v>202604</v>
      </c>
      <c r="B16" s="7">
        <v>46142</v>
      </c>
      <c r="C16">
        <v>1000389</v>
      </c>
      <c r="D16" t="s">
        <v>29</v>
      </c>
      <c r="E16" t="s">
        <v>40</v>
      </c>
      <c r="F16" t="s">
        <v>74</v>
      </c>
      <c r="G16" t="s">
        <v>40</v>
      </c>
      <c r="H16" t="s">
        <v>496</v>
      </c>
      <c r="I16" t="s">
        <v>244</v>
      </c>
      <c r="J16" t="str">
        <f t="shared" ref="J16:J18" si="12">IF(I16="SOLES","4.4963","3.388")</f>
        <v>3.388</v>
      </c>
      <c r="K16" t="s">
        <v>32</v>
      </c>
      <c r="L16" t="s">
        <v>33</v>
      </c>
      <c r="M16" t="s">
        <v>34</v>
      </c>
      <c r="N16" t="s">
        <v>259</v>
      </c>
      <c r="O16" t="s">
        <v>44</v>
      </c>
      <c r="P16" s="3">
        <v>11566788.523</v>
      </c>
      <c r="Q16" s="3">
        <v>10713146.325999999</v>
      </c>
      <c r="R16" s="4">
        <v>3.39E-2</v>
      </c>
      <c r="S16" s="3">
        <f>+Tabla9[[#This Row],[SAL_PROM_SOL]]</f>
        <v>11566788.523</v>
      </c>
      <c r="T16" s="4">
        <v>3.0800000000000001E-2</v>
      </c>
      <c r="U16" s="4">
        <v>3.0999999999999999E-3</v>
      </c>
      <c r="V16" s="3">
        <v>32160.5121</v>
      </c>
      <c r="W16" s="3">
        <v>29288.843499999999</v>
      </c>
      <c r="X16" s="3">
        <v>2871.6686</v>
      </c>
      <c r="Y16" s="3">
        <v>11.5685</v>
      </c>
      <c r="Z16" s="3">
        <v>2860.1001000000001</v>
      </c>
      <c r="AA16">
        <v>30</v>
      </c>
      <c r="AB16" t="b">
        <f t="shared" si="1"/>
        <v>1</v>
      </c>
      <c r="AC16" s="3">
        <v>3000000</v>
      </c>
      <c r="AD16" t="s">
        <v>46</v>
      </c>
      <c r="AE16" s="8">
        <v>46155.560022106481</v>
      </c>
      <c r="AF16" s="6">
        <f t="shared" si="11"/>
        <v>3.8555961743333333</v>
      </c>
      <c r="AG16" s="6" t="b">
        <f>+Tabla9[[#This Row],[CUMPLIMIENTO]]&lt;100%</f>
        <v>0</v>
      </c>
      <c r="AH16" s="12">
        <f>((( (Tabla9[[#This Row],[FTP_CIERRE_MES]]/100)+1)^(30/360) -1)*(36000/30))/36000</f>
        <v>9.2680593701059222E-5</v>
      </c>
      <c r="AI16" s="3">
        <f>Tabla9[[#This Row],[FTP_DIARIO]]*Tabla9[[#This Row],[SALDO_PROM_CORREGIDO]]*Tabla9[[#This Row],[DIAS]]</f>
        <v>32160.504825787135</v>
      </c>
      <c r="AJ16" s="3">
        <f>Tabla9[[#This Row],[REAL_FTP_MONTO]]-Tabla9[[#This Row],[INT_REAL]]</f>
        <v>2871.6613257871359</v>
      </c>
      <c r="AK16" s="3">
        <f>Tabla9[[#This Row],[FTP_DIARIO]]*Tabla9[[#This Row],[COMPROMISO]]*Tabla9[[#This Row],[DIAS]]</f>
        <v>8341.2534330953295</v>
      </c>
      <c r="AL16" s="13">
        <f>((( (Tabla9[[#This Row],[TASA_INT]])+1)^(30/360) -1)*(36000/30))/36000</f>
        <v>8.4371041130163846E-5</v>
      </c>
      <c r="AM16" s="3">
        <f>Tabla9[[#This Row],[TEA DIARIA]]*Tabla9[[#This Row],[SALDO_PROM_CORREGIDO]]*Tabla9[[#This Row],[DIAS]]</f>
        <v>29277.059706538203</v>
      </c>
      <c r="AN16" s="3">
        <f>Tabla9[[#This Row],[TEA DIARIA]]*Tabla9[[#This Row],[COMPROMISO]]*Tabla9[[#This Row],[DIAS]]</f>
        <v>7593.3937017147455</v>
      </c>
      <c r="AO16" s="14">
        <f>+Tabla9[[#This Row],[PROYECTADO_FTP_MONTO]]-Tabla9[[#This Row],[PROYECCION_INTERES]]</f>
        <v>747.85973138058398</v>
      </c>
      <c r="AP16" s="3">
        <f>Tabla9[[#This Row],[PROYECCION_MARGEN(FTP - Int compromiso)]]-Tabla9[[#This Row],[REAL_MARGEN(FTP - Int)]]</f>
        <v>-2123.8015944065519</v>
      </c>
    </row>
    <row r="17" spans="1:42" s="17" customFormat="1" x14ac:dyDescent="0.35">
      <c r="A17" s="17">
        <v>202604</v>
      </c>
      <c r="B17" s="7">
        <v>46142</v>
      </c>
      <c r="C17" s="17">
        <v>1031954</v>
      </c>
      <c r="D17" t="s">
        <v>42</v>
      </c>
      <c r="E17" t="s">
        <v>47</v>
      </c>
      <c r="F17" t="s">
        <v>75</v>
      </c>
      <c r="G17" s="17" t="s">
        <v>47</v>
      </c>
      <c r="H17" t="s">
        <v>494</v>
      </c>
      <c r="I17" s="17" t="s">
        <v>243</v>
      </c>
      <c r="J17" s="17" t="str">
        <f t="shared" si="12"/>
        <v>4.4963</v>
      </c>
      <c r="K17" t="s">
        <v>32</v>
      </c>
      <c r="L17" t="s">
        <v>33</v>
      </c>
      <c r="M17" t="s">
        <v>31</v>
      </c>
      <c r="N17" s="17" t="s">
        <v>260</v>
      </c>
      <c r="O17" s="17" t="s">
        <v>44</v>
      </c>
      <c r="P17" s="18">
        <v>3870785.7916999999</v>
      </c>
      <c r="Q17" s="18">
        <v>4049964.54</v>
      </c>
      <c r="R17" s="19">
        <v>4.4999999999999998E-2</v>
      </c>
      <c r="S17" s="18">
        <f>+Tabla9[[#This Row],[SAL_PROM_SOL]]</f>
        <v>3870785.7916999999</v>
      </c>
      <c r="T17" s="19">
        <v>3.3799999999999997E-2</v>
      </c>
      <c r="U17" s="19">
        <v>1.12E-2</v>
      </c>
      <c r="V17" s="18">
        <v>14212.9416</v>
      </c>
      <c r="W17" s="18">
        <v>10726.8696</v>
      </c>
      <c r="X17" s="3">
        <v>3486.0720000000001</v>
      </c>
      <c r="Y17" s="3">
        <v>0</v>
      </c>
      <c r="Z17" s="3">
        <v>3486.0720000000001</v>
      </c>
      <c r="AA17" s="17">
        <v>30</v>
      </c>
      <c r="AB17" s="17" t="b">
        <f t="shared" si="1"/>
        <v>1</v>
      </c>
      <c r="AC17" s="18">
        <v>5000000</v>
      </c>
      <c r="AD17" s="17" t="s">
        <v>46</v>
      </c>
      <c r="AE17" s="8">
        <v>46155.560022106481</v>
      </c>
      <c r="AF17" s="20">
        <f t="shared" ref="AF17:AF18" si="13">S17/AC17</f>
        <v>0.77415715833999998</v>
      </c>
      <c r="AG17" s="20" t="b">
        <f>+Tabla9[[#This Row],[CUMPLIMIENTO]]&lt;100%</f>
        <v>1</v>
      </c>
      <c r="AH17" s="21">
        <f>((( (Tabla9[[#This Row],[FTP_CIERRE_MES]]/100)+1)^(30/360) -1)*(36000/30))/36000</f>
        <v>1.2239493171416853E-4</v>
      </c>
      <c r="AI17" s="18">
        <f>Tabla9[[#This Row],[FTP_DIARIO]]*Tabla9[[#This Row],[SALDO_PROM_CORREGIDO]]*Tabla9[[#This Row],[DIAS]]</f>
        <v>14212.936879658859</v>
      </c>
      <c r="AJ17" s="18">
        <f>Tabla9[[#This Row],[REAL_FTP_MONTO]]-Tabla9[[#This Row],[INT_REAL]]</f>
        <v>3486.0672796588588</v>
      </c>
      <c r="AK17" s="18">
        <f>Tabla9[[#This Row],[FTP_DIARIO]]*Tabla9[[#This Row],[COMPROMISO]]*Tabla9[[#This Row],[DIAS]]</f>
        <v>18359.23975712528</v>
      </c>
      <c r="AL17" s="22">
        <f>((( (Tabla9[[#This Row],[TASA_INT]])+1)^(30/360) -1)*(36000/30))/36000</f>
        <v>9.2465048380245085E-5</v>
      </c>
      <c r="AM17" s="18">
        <f>Tabla9[[#This Row],[TEA DIARIA]]*Tabla9[[#This Row],[SALDO_PROM_CORREGIDO]]*Tabla9[[#This Row],[DIAS]]</f>
        <v>10737.371864973173</v>
      </c>
      <c r="AN17" s="18">
        <f>Tabla9[[#This Row],[TEA DIARIA]]*Tabla9[[#This Row],[COMPROMISO]]*Tabla9[[#This Row],[DIAS]]</f>
        <v>13869.757257036763</v>
      </c>
      <c r="AO17" s="23">
        <f>+Tabla9[[#This Row],[PROYECTADO_FTP_MONTO]]-Tabla9[[#This Row],[PROYECCION_INTERES]]</f>
        <v>4489.4825000885176</v>
      </c>
      <c r="AP17" s="3">
        <f>Tabla9[[#This Row],[PROYECCION_MARGEN(FTP - Int compromiso)]]-Tabla9[[#This Row],[REAL_MARGEN(FTP - Int)]]</f>
        <v>1003.4152204296588</v>
      </c>
    </row>
    <row r="18" spans="1:42" x14ac:dyDescent="0.35">
      <c r="A18">
        <v>202604</v>
      </c>
      <c r="B18" s="7">
        <v>46142</v>
      </c>
      <c r="C18">
        <v>1061415</v>
      </c>
      <c r="D18" t="s">
        <v>42</v>
      </c>
      <c r="E18" t="s">
        <v>48</v>
      </c>
      <c r="F18" t="s">
        <v>76</v>
      </c>
      <c r="G18" t="s">
        <v>48</v>
      </c>
      <c r="H18" t="s">
        <v>495</v>
      </c>
      <c r="I18" t="s">
        <v>243</v>
      </c>
      <c r="J18" t="str">
        <f t="shared" si="12"/>
        <v>4.4963</v>
      </c>
      <c r="K18" t="s">
        <v>32</v>
      </c>
      <c r="L18" t="s">
        <v>33</v>
      </c>
      <c r="M18" t="s">
        <v>31</v>
      </c>
      <c r="N18" t="s">
        <v>261</v>
      </c>
      <c r="O18" t="s">
        <v>44</v>
      </c>
      <c r="P18" s="3">
        <v>3904624.0295000002</v>
      </c>
      <c r="Q18" s="3">
        <v>3307593.11</v>
      </c>
      <c r="R18" s="4">
        <v>4.4999999999999998E-2</v>
      </c>
      <c r="S18" s="3">
        <f>+Tabla9[[#This Row],[SAL_PROM_SOL]]</f>
        <v>3904624.0295000002</v>
      </c>
      <c r="T18" s="4">
        <v>4.0599999999999997E-2</v>
      </c>
      <c r="U18" s="4">
        <v>4.4000000000000003E-3</v>
      </c>
      <c r="V18" s="3">
        <v>14337.1891</v>
      </c>
      <c r="W18" s="3">
        <v>12965.7114</v>
      </c>
      <c r="X18" s="3">
        <v>1371.4776999999999</v>
      </c>
      <c r="Y18" s="3">
        <v>43.9499</v>
      </c>
      <c r="Z18" s="3">
        <v>1327.5278000000001</v>
      </c>
      <c r="AA18">
        <v>30</v>
      </c>
      <c r="AB18" t="b">
        <f t="shared" si="1"/>
        <v>1</v>
      </c>
      <c r="AC18" s="3">
        <v>5000000</v>
      </c>
      <c r="AD18" t="s">
        <v>46</v>
      </c>
      <c r="AE18" s="8">
        <v>46155.560022106481</v>
      </c>
      <c r="AF18" s="6">
        <f t="shared" si="13"/>
        <v>0.78092480590000002</v>
      </c>
      <c r="AG18" s="6" t="b">
        <f>+Tabla9[[#This Row],[CUMPLIMIENTO]]&lt;100%</f>
        <v>1</v>
      </c>
      <c r="AH18" s="12">
        <f>((( (Tabla9[[#This Row],[FTP_CIERRE_MES]]/100)+1)^(30/360) -1)*(36000/30))/36000</f>
        <v>1.2239493171416853E-4</v>
      </c>
      <c r="AI18" s="3">
        <f>Tabla9[[#This Row],[FTP_DIARIO]]*Tabla9[[#This Row],[SALDO_PROM_CORREGIDO]]*Tabla9[[#This Row],[DIAS]]</f>
        <v>14337.185743804621</v>
      </c>
      <c r="AJ18" s="3">
        <f>Tabla9[[#This Row],[REAL_FTP_MONTO]]-Tabla9[[#This Row],[INT_REAL]]</f>
        <v>1371.4743438046207</v>
      </c>
      <c r="AK18" s="3">
        <f>Tabla9[[#This Row],[FTP_DIARIO]]*Tabla9[[#This Row],[COMPROMISO]]*Tabla9[[#This Row],[DIAS]]</f>
        <v>18359.23975712528</v>
      </c>
      <c r="AL18" s="13">
        <f>((( (Tabla9[[#This Row],[TASA_INT]])+1)^(30/360) -1)*(36000/30))/36000</f>
        <v>1.107320449014922E-4</v>
      </c>
      <c r="AM18" s="3">
        <f>Tabla9[[#This Row],[TEA DIARIA]]*Tabla9[[#This Row],[SALDO_PROM_CORREGIDO]]*Tabla9[[#This Row],[DIAS]]</f>
        <v>12971.010100741183</v>
      </c>
      <c r="AN18" s="3">
        <f>Tabla9[[#This Row],[TEA DIARIA]]*Tabla9[[#This Row],[COMPROMISO]]*Tabla9[[#This Row],[DIAS]]</f>
        <v>16609.806735223832</v>
      </c>
      <c r="AO18" s="14">
        <f>+Tabla9[[#This Row],[PROYECTADO_FTP_MONTO]]-Tabla9[[#This Row],[PROYECCION_INTERES]]</f>
        <v>1749.4330219014482</v>
      </c>
      <c r="AP18" s="3">
        <f>Tabla9[[#This Row],[PROYECCION_MARGEN(FTP - Int compromiso)]]-Tabla9[[#This Row],[REAL_MARGEN(FTP - Int)]]</f>
        <v>377.9586780968275</v>
      </c>
    </row>
    <row r="19" spans="1:42" x14ac:dyDescent="0.35">
      <c r="A19">
        <v>202604</v>
      </c>
      <c r="B19" s="7">
        <v>46142</v>
      </c>
      <c r="C19">
        <v>1140375</v>
      </c>
      <c r="D19" t="s">
        <v>42</v>
      </c>
      <c r="E19" t="s">
        <v>47</v>
      </c>
      <c r="F19" t="s">
        <v>71</v>
      </c>
      <c r="G19" t="s">
        <v>47</v>
      </c>
      <c r="H19" t="s">
        <v>494</v>
      </c>
      <c r="I19" t="s">
        <v>243</v>
      </c>
      <c r="J19" t="str">
        <f t="shared" ref="J19" si="14">IF(I19="SOLES","4.4963","3.388")</f>
        <v>4.4963</v>
      </c>
      <c r="K19" t="s">
        <v>32</v>
      </c>
      <c r="L19" t="s">
        <v>33</v>
      </c>
      <c r="M19" t="s">
        <v>31</v>
      </c>
      <c r="N19" t="s">
        <v>262</v>
      </c>
      <c r="O19" t="s">
        <v>44</v>
      </c>
      <c r="P19" s="3">
        <v>1770985.7501000001</v>
      </c>
      <c r="Q19" s="3">
        <v>2477196.79</v>
      </c>
      <c r="R19" s="4">
        <v>4.4999999999999998E-2</v>
      </c>
      <c r="S19" s="3">
        <f>+Tabla9[[#This Row],[SAL_PROM_SOL]]</f>
        <v>1770985.7501000001</v>
      </c>
      <c r="T19" s="4">
        <v>4.1500000000000002E-2</v>
      </c>
      <c r="U19" s="4">
        <v>3.5000000000000001E-3</v>
      </c>
      <c r="V19" s="3">
        <v>6502.7906999999996</v>
      </c>
      <c r="W19" s="3">
        <v>6004.4197999999997</v>
      </c>
      <c r="X19" s="3">
        <v>498.37090000000001</v>
      </c>
      <c r="Y19" s="3">
        <v>43.9499</v>
      </c>
      <c r="Z19" s="3">
        <v>454.42099999999999</v>
      </c>
      <c r="AA19">
        <v>30</v>
      </c>
      <c r="AB19" t="b">
        <f t="shared" si="1"/>
        <v>1</v>
      </c>
      <c r="AC19" s="3">
        <v>2000000</v>
      </c>
      <c r="AD19" t="s">
        <v>46</v>
      </c>
      <c r="AE19" s="8">
        <v>46155.560022106481</v>
      </c>
      <c r="AF19" s="6">
        <f t="shared" ref="AF19" si="15">S19/AC19</f>
        <v>0.88549287505000007</v>
      </c>
      <c r="AG19" s="6" t="b">
        <f>+Tabla9[[#This Row],[CUMPLIMIENTO]]&lt;100%</f>
        <v>1</v>
      </c>
      <c r="AH19" s="12">
        <f>((( (Tabla9[[#This Row],[FTP_CIERRE_MES]]/100)+1)^(30/360) -1)*(36000/30))/36000</f>
        <v>1.2239493171416853E-4</v>
      </c>
      <c r="AI19" s="3">
        <f>Tabla9[[#This Row],[FTP_DIARIO]]*Tabla9[[#This Row],[SALDO_PROM_CORREGIDO]]*Tabla9[[#This Row],[DIAS]]</f>
        <v>6502.7903985076509</v>
      </c>
      <c r="AJ19" s="3">
        <f>Tabla9[[#This Row],[REAL_FTP_MONTO]]-Tabla9[[#This Row],[INT_REAL]]</f>
        <v>498.37059850765127</v>
      </c>
      <c r="AK19" s="3">
        <f>Tabla9[[#This Row],[FTP_DIARIO]]*Tabla9[[#This Row],[COMPROMISO]]*Tabla9[[#This Row],[DIAS]]</f>
        <v>7343.6959028501115</v>
      </c>
      <c r="AL19" s="13">
        <f>((( (Tabla9[[#This Row],[TASA_INT]])+1)^(30/360) -1)*(36000/30))/36000</f>
        <v>1.1314153091487681E-4</v>
      </c>
      <c r="AM19" s="3">
        <f>Tabla9[[#This Row],[TEA DIARIA]]*Tabla9[[#This Row],[SALDO_PROM_CORREGIDO]]*Tabla9[[#This Row],[DIAS]]</f>
        <v>6011.161169842364</v>
      </c>
      <c r="AN19" s="3">
        <f>Tabla9[[#This Row],[TEA DIARIA]]*Tabla9[[#This Row],[COMPROMISO]]*Tabla9[[#This Row],[DIAS]]</f>
        <v>6788.4918548926089</v>
      </c>
      <c r="AO19" s="14">
        <f>+Tabla9[[#This Row],[PROYECTADO_FTP_MONTO]]-Tabla9[[#This Row],[PROYECCION_INTERES]]</f>
        <v>555.20404795750255</v>
      </c>
      <c r="AP19" s="3">
        <f>Tabla9[[#This Row],[PROYECCION_MARGEN(FTP - Int compromiso)]]-Tabla9[[#This Row],[REAL_MARGEN(FTP - Int)]]</f>
        <v>56.833449449851287</v>
      </c>
    </row>
    <row r="20" spans="1:42" x14ac:dyDescent="0.35">
      <c r="A20">
        <v>202604</v>
      </c>
      <c r="B20" s="7">
        <v>46142</v>
      </c>
      <c r="C20">
        <v>1394485</v>
      </c>
      <c r="D20" t="s">
        <v>42</v>
      </c>
      <c r="E20" t="s">
        <v>48</v>
      </c>
      <c r="F20" t="s">
        <v>77</v>
      </c>
      <c r="G20" t="s">
        <v>48</v>
      </c>
      <c r="H20" t="s">
        <v>495</v>
      </c>
      <c r="I20" t="s">
        <v>243</v>
      </c>
      <c r="J20" t="str">
        <f t="shared" ref="J20:J22" si="16">IF(I20="SOLES","4.4963","3.388")</f>
        <v>4.4963</v>
      </c>
      <c r="K20" t="s">
        <v>32</v>
      </c>
      <c r="L20" t="s">
        <v>33</v>
      </c>
      <c r="M20" t="s">
        <v>31</v>
      </c>
      <c r="N20" t="s">
        <v>263</v>
      </c>
      <c r="O20" t="s">
        <v>44</v>
      </c>
      <c r="P20" s="3">
        <v>15412988.1305</v>
      </c>
      <c r="Q20" s="3">
        <v>15082194.310000001</v>
      </c>
      <c r="R20" s="4">
        <v>4.4999999999999998E-2</v>
      </c>
      <c r="S20" s="3">
        <f>+Tabla9[[#This Row],[SAL_PROM_SOL]]</f>
        <v>15412988.1305</v>
      </c>
      <c r="T20" s="4">
        <v>0.03</v>
      </c>
      <c r="U20" s="4">
        <v>1.4999999999999999E-2</v>
      </c>
      <c r="V20" s="3">
        <v>56594.150699999998</v>
      </c>
      <c r="W20" s="3">
        <v>38009.470200000003</v>
      </c>
      <c r="X20" s="3">
        <v>18584.680499999999</v>
      </c>
      <c r="Y20" s="3">
        <v>0</v>
      </c>
      <c r="Z20" s="3">
        <v>18584.680499999999</v>
      </c>
      <c r="AA20">
        <v>30</v>
      </c>
      <c r="AB20" t="b">
        <f t="shared" si="1"/>
        <v>1</v>
      </c>
      <c r="AC20" s="3">
        <v>16000000</v>
      </c>
      <c r="AD20" t="s">
        <v>46</v>
      </c>
      <c r="AE20" s="8">
        <v>46155.560022106481</v>
      </c>
      <c r="AF20" s="6">
        <f t="shared" ref="AF20:AF21" si="17">S20/AC20</f>
        <v>0.96331175815625003</v>
      </c>
      <c r="AG20" s="6" t="b">
        <f>+Tabla9[[#This Row],[CUMPLIMIENTO]]&lt;100%</f>
        <v>1</v>
      </c>
      <c r="AH20" s="12">
        <f>((( (Tabla9[[#This Row],[FTP_CIERRE_MES]]/100)+1)^(30/360) -1)*(36000/30))/36000</f>
        <v>1.2239493171416853E-4</v>
      </c>
      <c r="AI20" s="3">
        <f>Tabla9[[#This Row],[FTP_DIARIO]]*Tabla9[[#This Row],[SALDO_PROM_CORREGIDO]]*Tabla9[[#This Row],[DIAS]]</f>
        <v>56594.148892315119</v>
      </c>
      <c r="AJ20" s="3">
        <f>Tabla9[[#This Row],[REAL_FTP_MONTO]]-Tabla9[[#This Row],[INT_REAL]]</f>
        <v>18584.678692315116</v>
      </c>
      <c r="AK20" s="3">
        <f>Tabla9[[#This Row],[FTP_DIARIO]]*Tabla9[[#This Row],[COMPROMISO]]*Tabla9[[#This Row],[DIAS]]</f>
        <v>58749.567222800892</v>
      </c>
      <c r="AL20" s="13">
        <f>((( (Tabla9[[#This Row],[TASA_INT]])+1)^(30/360) -1)*(36000/30))/36000</f>
        <v>8.220899241012288E-5</v>
      </c>
      <c r="AM20" s="3">
        <f>Tabla9[[#This Row],[TEA DIARIA]]*Tabla9[[#This Row],[SALDO_PROM_CORREGIDO]]*Tabla9[[#This Row],[DIAS]]</f>
        <v>38012.586727127658</v>
      </c>
      <c r="AN20" s="3">
        <f>Tabla9[[#This Row],[TEA DIARIA]]*Tabla9[[#This Row],[COMPROMISO]]*Tabla9[[#This Row],[DIAS]]</f>
        <v>39460.316356858981</v>
      </c>
      <c r="AO20" s="14">
        <f>+Tabla9[[#This Row],[PROYECTADO_FTP_MONTO]]-Tabla9[[#This Row],[PROYECCION_INTERES]]</f>
        <v>19289.250865941911</v>
      </c>
      <c r="AP20" s="3">
        <f>Tabla9[[#This Row],[PROYECCION_MARGEN(FTP - Int compromiso)]]-Tabla9[[#This Row],[REAL_MARGEN(FTP - Int)]]</f>
        <v>704.57217362679512</v>
      </c>
    </row>
    <row r="21" spans="1:42" x14ac:dyDescent="0.35">
      <c r="A21">
        <v>202604</v>
      </c>
      <c r="B21" s="7">
        <v>46142</v>
      </c>
      <c r="C21">
        <v>1394485</v>
      </c>
      <c r="D21" t="s">
        <v>42</v>
      </c>
      <c r="E21" t="s">
        <v>48</v>
      </c>
      <c r="F21" t="s">
        <v>77</v>
      </c>
      <c r="G21" t="s">
        <v>48</v>
      </c>
      <c r="H21" t="s">
        <v>495</v>
      </c>
      <c r="I21" t="s">
        <v>243</v>
      </c>
      <c r="J21" t="str">
        <f t="shared" si="16"/>
        <v>4.4963</v>
      </c>
      <c r="K21" t="s">
        <v>32</v>
      </c>
      <c r="L21" t="s">
        <v>33</v>
      </c>
      <c r="M21" t="s">
        <v>31</v>
      </c>
      <c r="N21" t="s">
        <v>264</v>
      </c>
      <c r="O21" t="s">
        <v>44</v>
      </c>
      <c r="P21" s="3">
        <v>323623179.7288</v>
      </c>
      <c r="Q21" s="3">
        <v>328136519.97000003</v>
      </c>
      <c r="R21" s="4">
        <v>4.7500000000000001E-2</v>
      </c>
      <c r="S21" s="3">
        <f>+Tabla9[[#This Row],[SAL_PROM_SOL]]</f>
        <v>323623179.7288</v>
      </c>
      <c r="T21" s="4">
        <v>4.65E-2</v>
      </c>
      <c r="U21" s="4">
        <v>1E-3</v>
      </c>
      <c r="V21" s="3">
        <v>1253937.8799999999</v>
      </c>
      <c r="W21" s="3">
        <v>1227925.8084</v>
      </c>
      <c r="X21" s="3">
        <v>26012.071599999999</v>
      </c>
      <c r="Y21" s="3">
        <v>0</v>
      </c>
      <c r="Z21" s="3">
        <v>26012.071599999901</v>
      </c>
      <c r="AA21">
        <v>30</v>
      </c>
      <c r="AB21" t="b">
        <f t="shared" si="1"/>
        <v>1</v>
      </c>
      <c r="AC21" s="3">
        <v>330000000</v>
      </c>
      <c r="AD21" t="s">
        <v>46</v>
      </c>
      <c r="AE21" s="8">
        <v>46155.560022106481</v>
      </c>
      <c r="AF21" s="6">
        <f t="shared" si="17"/>
        <v>0.9806763022084849</v>
      </c>
      <c r="AG21" s="6" t="b">
        <f>+Tabla9[[#This Row],[CUMPLIMIENTO]]&lt;100%</f>
        <v>1</v>
      </c>
      <c r="AH21" s="12">
        <f>((( (Tabla9[[#This Row],[FTP_CIERRE_MES]]/100)+1)^(30/360) -1)*(36000/30))/36000</f>
        <v>1.2239493171416853E-4</v>
      </c>
      <c r="AI21" s="3">
        <f>Tabla9[[#This Row],[FTP_DIARIO]]*Tabla9[[#This Row],[SALDO_PROM_CORREGIDO]]*Tabla9[[#This Row],[DIAS]]</f>
        <v>1188295.109520857</v>
      </c>
      <c r="AJ21" s="3">
        <f>Tabla9[[#This Row],[REAL_FTP_MONTO]]-Tabla9[[#This Row],[INT_REAL]]</f>
        <v>-39630.69887914299</v>
      </c>
      <c r="AK21" s="3">
        <f>Tabla9[[#This Row],[FTP_DIARIO]]*Tabla9[[#This Row],[COMPROMISO]]*Tabla9[[#This Row],[DIAS]]</f>
        <v>1211709.8239702682</v>
      </c>
      <c r="AL21" s="13">
        <f>((( (Tabla9[[#This Row],[TASA_INT]])+1)^(30/360) -1)*(36000/30))/36000</f>
        <v>1.2649290944814298E-4</v>
      </c>
      <c r="AM21" s="3">
        <f>Tabla9[[#This Row],[TEA DIARIA]]*Tabla9[[#This Row],[SALDO_PROM_CORREGIDO]]*Tabla9[[#This Row],[DIAS]]</f>
        <v>1228081.127062656</v>
      </c>
      <c r="AN21" s="3">
        <f>Tabla9[[#This Row],[TEA DIARIA]]*Tabla9[[#This Row],[COMPROMISO]]*Tabla9[[#This Row],[DIAS]]</f>
        <v>1252279.8035366156</v>
      </c>
      <c r="AO21" s="14">
        <f>+Tabla9[[#This Row],[PROYECTADO_FTP_MONTO]]-Tabla9[[#This Row],[PROYECCION_INTERES]]</f>
        <v>-40569.97956634732</v>
      </c>
      <c r="AP21" s="3">
        <f>Tabla9[[#This Row],[PROYECCION_MARGEN(FTP - Int compromiso)]]-Tabla9[[#This Row],[REAL_MARGEN(FTP - Int)]]</f>
        <v>-939.2806872043293</v>
      </c>
    </row>
    <row r="22" spans="1:42" x14ac:dyDescent="0.35">
      <c r="A22">
        <v>202604</v>
      </c>
      <c r="B22" s="7">
        <v>46142</v>
      </c>
      <c r="C22">
        <v>1501790</v>
      </c>
      <c r="D22" t="s">
        <v>36</v>
      </c>
      <c r="E22" t="s">
        <v>37</v>
      </c>
      <c r="F22" t="s">
        <v>78</v>
      </c>
      <c r="G22" t="s">
        <v>37</v>
      </c>
      <c r="H22" t="s">
        <v>491</v>
      </c>
      <c r="I22" t="s">
        <v>243</v>
      </c>
      <c r="J22" t="str">
        <f t="shared" si="16"/>
        <v>4.4963</v>
      </c>
      <c r="K22" t="s">
        <v>32</v>
      </c>
      <c r="L22" t="s">
        <v>33</v>
      </c>
      <c r="M22" t="s">
        <v>31</v>
      </c>
      <c r="N22" t="s">
        <v>265</v>
      </c>
      <c r="O22" t="s">
        <v>44</v>
      </c>
      <c r="P22" s="3">
        <v>83773.798599999995</v>
      </c>
      <c r="Q22" s="3">
        <v>44791.13</v>
      </c>
      <c r="R22" s="4">
        <v>4.4999999999999998E-2</v>
      </c>
      <c r="S22" s="3">
        <f>+Tabla9[[#This Row],[SAL_PROM_SOL]]</f>
        <v>83773.798599999995</v>
      </c>
      <c r="T22" s="4">
        <v>0</v>
      </c>
      <c r="U22" s="4">
        <v>4.4999999999999998E-2</v>
      </c>
      <c r="V22" s="3">
        <v>307.60109999999997</v>
      </c>
      <c r="W22" s="3">
        <v>0</v>
      </c>
      <c r="X22" s="3">
        <v>307.60109999999997</v>
      </c>
      <c r="Y22" s="3">
        <v>16.798400000000001</v>
      </c>
      <c r="Z22" s="3">
        <v>290.80270000000002</v>
      </c>
      <c r="AA22">
        <v>30</v>
      </c>
      <c r="AB22" t="b">
        <f t="shared" si="1"/>
        <v>1</v>
      </c>
      <c r="AC22" s="3">
        <v>1000000</v>
      </c>
      <c r="AD22" t="s">
        <v>45</v>
      </c>
      <c r="AE22" s="8">
        <v>46155.560022106481</v>
      </c>
      <c r="AF22" s="6">
        <f t="shared" ref="AF22:AF28" si="18">S22/AC22</f>
        <v>8.3773798599999991E-2</v>
      </c>
      <c r="AG22" s="6" t="b">
        <f>+Tabla9[[#This Row],[CUMPLIMIENTO]]&lt;100%</f>
        <v>1</v>
      </c>
      <c r="AH22" s="12">
        <f>((( (Tabla9[[#This Row],[FTP_CIERRE_MES]]/100)+1)^(30/360) -1)*(36000/30))/36000</f>
        <v>1.2239493171416853E-4</v>
      </c>
      <c r="AI22" s="3">
        <f>Tabla9[[#This Row],[FTP_DIARIO]]*Tabla9[[#This Row],[SALDO_PROM_CORREGIDO]]*Tabla9[[#This Row],[DIAS]]</f>
        <v>307.60465077250518</v>
      </c>
      <c r="AJ22" s="3">
        <f>Tabla9[[#This Row],[REAL_FTP_MONTO]]-Tabla9[[#This Row],[INT_REAL]]</f>
        <v>307.60465077250518</v>
      </c>
      <c r="AK22" s="3">
        <f>Tabla9[[#This Row],[FTP_DIARIO]]*Tabla9[[#This Row],[COMPROMISO]]*Tabla9[[#This Row],[DIAS]]</f>
        <v>3671.8479514250557</v>
      </c>
      <c r="AL22" s="13">
        <f>((( (Tabla9[[#This Row],[TASA_INT]])+1)^(30/360) -1)*(36000/30))/36000</f>
        <v>0</v>
      </c>
      <c r="AM22" s="3">
        <f>Tabla9[[#This Row],[TEA DIARIA]]*Tabla9[[#This Row],[SALDO_PROM_CORREGIDO]]*Tabla9[[#This Row],[DIAS]]</f>
        <v>0</v>
      </c>
      <c r="AN22" s="3">
        <f>Tabla9[[#This Row],[TEA DIARIA]]*Tabla9[[#This Row],[COMPROMISO]]*Tabla9[[#This Row],[DIAS]]</f>
        <v>0</v>
      </c>
      <c r="AO22" s="14">
        <f>+Tabla9[[#This Row],[PROYECTADO_FTP_MONTO]]-Tabla9[[#This Row],[PROYECCION_INTERES]]</f>
        <v>3671.8479514250557</v>
      </c>
      <c r="AP22" s="3">
        <f>Tabla9[[#This Row],[PROYECCION_MARGEN(FTP - Int compromiso)]]-Tabla9[[#This Row],[REAL_MARGEN(FTP - Int)]]</f>
        <v>3364.2433006525507</v>
      </c>
    </row>
    <row r="23" spans="1:42" x14ac:dyDescent="0.35">
      <c r="A23">
        <v>202604</v>
      </c>
      <c r="B23" s="7">
        <v>46142</v>
      </c>
      <c r="C23">
        <v>1552207</v>
      </c>
      <c r="D23" t="s">
        <v>42</v>
      </c>
      <c r="E23" t="s">
        <v>48</v>
      </c>
      <c r="F23" t="s">
        <v>79</v>
      </c>
      <c r="G23" t="s">
        <v>48</v>
      </c>
      <c r="H23" t="s">
        <v>497</v>
      </c>
      <c r="I23" t="s">
        <v>243</v>
      </c>
      <c r="J23" t="str">
        <f t="shared" ref="J23:J29" si="19">IF(I23="SOLES","4.4963","3.388")</f>
        <v>4.4963</v>
      </c>
      <c r="K23" t="s">
        <v>32</v>
      </c>
      <c r="L23" t="s">
        <v>41</v>
      </c>
      <c r="M23" t="s">
        <v>31</v>
      </c>
      <c r="N23" t="s">
        <v>266</v>
      </c>
      <c r="O23" t="s">
        <v>44</v>
      </c>
      <c r="P23" s="3">
        <v>1719079.1784999999</v>
      </c>
      <c r="Q23" s="3">
        <v>1433790.01</v>
      </c>
      <c r="R23" s="4">
        <v>4.4999999999999998E-2</v>
      </c>
      <c r="S23" s="3">
        <f>+Tabla9[[#This Row],[SAL_PROM_SOL]]</f>
        <v>1719079.1784999999</v>
      </c>
      <c r="T23" s="4">
        <v>4.0500000000000001E-2</v>
      </c>
      <c r="U23" s="4">
        <v>4.4999999999999997E-3</v>
      </c>
      <c r="V23" s="3">
        <v>6312.1998999999996</v>
      </c>
      <c r="W23" s="3">
        <v>5696.2506999999996</v>
      </c>
      <c r="X23" s="3">
        <v>615.94920000000002</v>
      </c>
      <c r="Y23" s="3">
        <v>0</v>
      </c>
      <c r="Z23" s="3">
        <v>615.94920000000002</v>
      </c>
      <c r="AA23">
        <v>30</v>
      </c>
      <c r="AB23" t="b">
        <f t="shared" si="1"/>
        <v>1</v>
      </c>
      <c r="AC23" s="9">
        <v>1000000</v>
      </c>
      <c r="AD23" t="s">
        <v>46</v>
      </c>
      <c r="AE23" s="8">
        <v>46155.560022106481</v>
      </c>
      <c r="AF23" s="6">
        <f t="shared" si="18"/>
        <v>1.7190791784999999</v>
      </c>
      <c r="AG23" s="6" t="b">
        <f>+Tabla9[[#This Row],[CUMPLIMIENTO]]&lt;100%</f>
        <v>0</v>
      </c>
      <c r="AH23" s="12">
        <f>((( (Tabla9[[#This Row],[FTP_CIERRE_MES]]/100)+1)^(30/360) -1)*(36000/30))/36000</f>
        <v>1.2239493171416853E-4</v>
      </c>
      <c r="AI23" s="3">
        <f>Tabla9[[#This Row],[FTP_DIARIO]]*Tabla9[[#This Row],[SALDO_PROM_CORREGIDO]]*Tabla9[[#This Row],[DIAS]]</f>
        <v>6312.1973599126923</v>
      </c>
      <c r="AJ23" s="3">
        <f>Tabla9[[#This Row],[REAL_FTP_MONTO]]-Tabla9[[#This Row],[INT_REAL]]</f>
        <v>615.94665991269267</v>
      </c>
      <c r="AK23" s="3">
        <f>Tabla9[[#This Row],[FTP_DIARIO]]*Tabla9[[#This Row],[COMPROMISO]]*Tabla9[[#This Row],[DIAS]]</f>
        <v>3671.8479514250557</v>
      </c>
      <c r="AL23" s="13">
        <f>((( (Tabla9[[#This Row],[TASA_INT]])+1)^(30/360) -1)*(36000/30))/36000</f>
        <v>1.1046420632666217E-4</v>
      </c>
      <c r="AM23" s="3">
        <f>Tabla9[[#This Row],[TEA DIARIA]]*Tabla9[[#This Row],[SALDO_PROM_CORREGIDO]]*Tabla9[[#This Row],[DIAS]]</f>
        <v>5696.9015119707865</v>
      </c>
      <c r="AN23" s="3">
        <f>Tabla9[[#This Row],[TEA DIARIA]]*Tabla9[[#This Row],[COMPROMISO]]*Tabla9[[#This Row],[DIAS]]</f>
        <v>3313.9261897998649</v>
      </c>
      <c r="AO23" s="14">
        <f>+Tabla9[[#This Row],[PROYECTADO_FTP_MONTO]]-Tabla9[[#This Row],[PROYECCION_INTERES]]</f>
        <v>357.92176162519081</v>
      </c>
      <c r="AP23" s="3">
        <f>Tabla9[[#This Row],[PROYECCION_MARGEN(FTP - Int compromiso)]]-Tabla9[[#This Row],[REAL_MARGEN(FTP - Int)]]</f>
        <v>-258.02489828750186</v>
      </c>
    </row>
    <row r="24" spans="1:42" x14ac:dyDescent="0.35">
      <c r="A24">
        <v>202604</v>
      </c>
      <c r="B24" s="7">
        <v>46142</v>
      </c>
      <c r="C24">
        <v>1553387</v>
      </c>
      <c r="D24" t="s">
        <v>42</v>
      </c>
      <c r="E24" t="s">
        <v>47</v>
      </c>
      <c r="F24" t="s">
        <v>80</v>
      </c>
      <c r="G24" t="s">
        <v>47</v>
      </c>
      <c r="H24" t="s">
        <v>494</v>
      </c>
      <c r="I24" t="s">
        <v>243</v>
      </c>
      <c r="J24" t="str">
        <f t="shared" si="19"/>
        <v>4.4963</v>
      </c>
      <c r="K24" t="s">
        <v>32</v>
      </c>
      <c r="L24" t="s">
        <v>33</v>
      </c>
      <c r="M24" t="s">
        <v>31</v>
      </c>
      <c r="N24" t="s">
        <v>267</v>
      </c>
      <c r="O24" t="s">
        <v>44</v>
      </c>
      <c r="P24" s="9">
        <v>182261.671</v>
      </c>
      <c r="Q24" s="3">
        <v>182554.42</v>
      </c>
      <c r="R24" s="4">
        <v>4.4999999999999998E-2</v>
      </c>
      <c r="T24" s="4">
        <v>2.35E-2</v>
      </c>
      <c r="U24" s="4">
        <v>2.1499999999999998E-2</v>
      </c>
      <c r="V24" s="3">
        <v>669.24</v>
      </c>
      <c r="W24" s="3">
        <v>352.83859999999999</v>
      </c>
      <c r="X24" s="3">
        <v>316.40140000000002</v>
      </c>
      <c r="Y24" s="3">
        <v>0</v>
      </c>
      <c r="Z24" s="3">
        <v>316.40140000000002</v>
      </c>
      <c r="AA24">
        <v>30</v>
      </c>
      <c r="AB24" t="b">
        <f t="shared" si="1"/>
        <v>1</v>
      </c>
      <c r="AC24" s="2"/>
      <c r="AD24" t="s">
        <v>46</v>
      </c>
      <c r="AE24" s="8">
        <v>46155.560022106481</v>
      </c>
      <c r="AF24" s="6" t="e">
        <f t="shared" si="18"/>
        <v>#DIV/0!</v>
      </c>
      <c r="AG24" s="6" t="e">
        <f>+Tabla9[[#This Row],[CUMPLIMIENTO]]&lt;100%</f>
        <v>#DIV/0!</v>
      </c>
      <c r="AH24" s="12">
        <f>((( (Tabla9[[#This Row],[FTP_CIERRE_MES]]/100)+1)^(30/360) -1)*(36000/30))/36000</f>
        <v>1.2239493171416853E-4</v>
      </c>
      <c r="AI24" s="3">
        <f>Tabla9[[#This Row],[FTP_DIARIO]]*Tabla9[[#This Row],[SALDO_PROM_CORREGIDO]]*Tabla9[[#This Row],[DIAS]]</f>
        <v>0</v>
      </c>
      <c r="AJ24" s="3">
        <f>Tabla9[[#This Row],[REAL_FTP_MONTO]]-Tabla9[[#This Row],[INT_REAL]]</f>
        <v>-352.83859999999999</v>
      </c>
      <c r="AK24" s="3">
        <f>Tabla9[[#This Row],[FTP_DIARIO]]*Tabla9[[#This Row],[COMPROMISO]]*Tabla9[[#This Row],[DIAS]]</f>
        <v>0</v>
      </c>
      <c r="AL24" s="13">
        <f>((( (Tabla9[[#This Row],[TASA_INT]])+1)^(30/360) -1)*(36000/30))/36000</f>
        <v>6.4585060301084837E-5</v>
      </c>
      <c r="AM24" s="3">
        <f>Tabla9[[#This Row],[TEA DIARIA]]*Tabla9[[#This Row],[SALDO_PROM_CORREGIDO]]*Tabla9[[#This Row],[DIAS]]</f>
        <v>0</v>
      </c>
      <c r="AN24" s="3">
        <f>Tabla9[[#This Row],[TEA DIARIA]]*Tabla9[[#This Row],[COMPROMISO]]*Tabla9[[#This Row],[DIAS]]</f>
        <v>0</v>
      </c>
      <c r="AO24" s="14">
        <f>+Tabla9[[#This Row],[PROYECTADO_FTP_MONTO]]-Tabla9[[#This Row],[PROYECCION_INTERES]]</f>
        <v>0</v>
      </c>
      <c r="AP24" s="3">
        <f>Tabla9[[#This Row],[PROYECCION_MARGEN(FTP - Int compromiso)]]-Tabla9[[#This Row],[REAL_MARGEN(FTP - Int)]]</f>
        <v>352.83859999999999</v>
      </c>
    </row>
    <row r="25" spans="1:42" x14ac:dyDescent="0.35">
      <c r="A25">
        <v>202604</v>
      </c>
      <c r="B25" s="7">
        <v>46142</v>
      </c>
      <c r="C25">
        <v>1553387</v>
      </c>
      <c r="D25" t="s">
        <v>42</v>
      </c>
      <c r="E25" t="s">
        <v>47</v>
      </c>
      <c r="F25" t="s">
        <v>80</v>
      </c>
      <c r="G25" t="s">
        <v>47</v>
      </c>
      <c r="H25" t="s">
        <v>494</v>
      </c>
      <c r="I25" t="s">
        <v>243</v>
      </c>
      <c r="J25" t="str">
        <f t="shared" si="19"/>
        <v>4.4963</v>
      </c>
      <c r="K25" t="s">
        <v>32</v>
      </c>
      <c r="L25" t="s">
        <v>41</v>
      </c>
      <c r="M25" t="s">
        <v>31</v>
      </c>
      <c r="N25" t="s">
        <v>268</v>
      </c>
      <c r="O25" t="s">
        <v>44</v>
      </c>
      <c r="P25" s="9">
        <v>187407.73019999999</v>
      </c>
      <c r="Q25" s="3">
        <v>215748.12</v>
      </c>
      <c r="R25" s="4">
        <v>4.4999999999999998E-2</v>
      </c>
      <c r="T25" s="4">
        <v>2.4500000000000001E-2</v>
      </c>
      <c r="U25" s="4">
        <v>2.0500000000000001E-2</v>
      </c>
      <c r="V25" s="3">
        <v>688.12829999999997</v>
      </c>
      <c r="W25" s="3">
        <v>378.37880000000001</v>
      </c>
      <c r="X25" s="3">
        <v>309.74950000000001</v>
      </c>
      <c r="Y25" s="3">
        <v>0</v>
      </c>
      <c r="Z25" s="3">
        <v>309.74950000000001</v>
      </c>
      <c r="AA25">
        <v>30</v>
      </c>
      <c r="AB25" t="b">
        <f t="shared" si="1"/>
        <v>1</v>
      </c>
      <c r="AC25" s="2"/>
      <c r="AD25" t="s">
        <v>46</v>
      </c>
      <c r="AE25" s="8">
        <v>46155.560022106481</v>
      </c>
      <c r="AF25" s="6" t="e">
        <f t="shared" si="18"/>
        <v>#DIV/0!</v>
      </c>
      <c r="AG25" s="6" t="e">
        <f>+Tabla9[[#This Row],[CUMPLIMIENTO]]&lt;100%</f>
        <v>#DIV/0!</v>
      </c>
      <c r="AH25" s="12">
        <f>((( (Tabla9[[#This Row],[FTP_CIERRE_MES]]/100)+1)^(30/360) -1)*(36000/30))/36000</f>
        <v>1.2239493171416853E-4</v>
      </c>
      <c r="AI25" s="3">
        <f>Tabla9[[#This Row],[FTP_DIARIO]]*Tabla9[[#This Row],[SALDO_PROM_CORREGIDO]]*Tabla9[[#This Row],[DIAS]]</f>
        <v>0</v>
      </c>
      <c r="AJ25" s="3">
        <f>Tabla9[[#This Row],[REAL_FTP_MONTO]]-Tabla9[[#This Row],[INT_REAL]]</f>
        <v>-378.37880000000001</v>
      </c>
      <c r="AK25" s="3">
        <f>Tabla9[[#This Row],[FTP_DIARIO]]*Tabla9[[#This Row],[COMPROMISO]]*Tabla9[[#This Row],[DIAS]]</f>
        <v>0</v>
      </c>
      <c r="AL25" s="13">
        <f>((( (Tabla9[[#This Row],[TASA_INT]])+1)^(30/360) -1)*(36000/30))/36000</f>
        <v>6.7303100669713345E-5</v>
      </c>
      <c r="AM25" s="3">
        <f>Tabla9[[#This Row],[TEA DIARIA]]*Tabla9[[#This Row],[SALDO_PROM_CORREGIDO]]*Tabla9[[#This Row],[DIAS]]</f>
        <v>0</v>
      </c>
      <c r="AN25" s="3">
        <f>Tabla9[[#This Row],[TEA DIARIA]]*Tabla9[[#This Row],[COMPROMISO]]*Tabla9[[#This Row],[DIAS]]</f>
        <v>0</v>
      </c>
      <c r="AO25" s="14">
        <f>+Tabla9[[#This Row],[PROYECTADO_FTP_MONTO]]-Tabla9[[#This Row],[PROYECCION_INTERES]]</f>
        <v>0</v>
      </c>
      <c r="AP25" s="3">
        <f>Tabla9[[#This Row],[PROYECCION_MARGEN(FTP - Int compromiso)]]-Tabla9[[#This Row],[REAL_MARGEN(FTP - Int)]]</f>
        <v>378.37880000000001</v>
      </c>
    </row>
    <row r="26" spans="1:42" x14ac:dyDescent="0.35">
      <c r="A26">
        <v>202604</v>
      </c>
      <c r="B26" s="7">
        <v>46142</v>
      </c>
      <c r="C26">
        <v>1553387</v>
      </c>
      <c r="D26" t="s">
        <v>42</v>
      </c>
      <c r="E26" t="s">
        <v>47</v>
      </c>
      <c r="F26" t="s">
        <v>80</v>
      </c>
      <c r="G26" t="s">
        <v>47</v>
      </c>
      <c r="H26" t="s">
        <v>494</v>
      </c>
      <c r="I26" t="s">
        <v>243</v>
      </c>
      <c r="J26" t="str">
        <f t="shared" si="19"/>
        <v>4.4963</v>
      </c>
      <c r="K26" t="s">
        <v>32</v>
      </c>
      <c r="L26" t="s">
        <v>33</v>
      </c>
      <c r="M26" t="s">
        <v>31</v>
      </c>
      <c r="N26" t="s">
        <v>269</v>
      </c>
      <c r="O26" t="s">
        <v>44</v>
      </c>
      <c r="P26" s="9">
        <v>342635.16830000002</v>
      </c>
      <c r="Q26" s="3">
        <v>419221.1</v>
      </c>
      <c r="R26" s="4">
        <v>4.4999999999999998E-2</v>
      </c>
      <c r="T26" s="4">
        <v>2.3599999999999999E-2</v>
      </c>
      <c r="U26" s="4">
        <v>2.1399999999999999E-2</v>
      </c>
      <c r="V26" s="3">
        <v>1258.0997</v>
      </c>
      <c r="W26" s="3">
        <v>666.25149999999996</v>
      </c>
      <c r="X26" s="3">
        <v>591.84820000000002</v>
      </c>
      <c r="Y26" s="3">
        <v>43.9499</v>
      </c>
      <c r="Z26" s="3">
        <v>547.89829999999995</v>
      </c>
      <c r="AA26">
        <v>30</v>
      </c>
      <c r="AB26" t="b">
        <f t="shared" si="1"/>
        <v>1</v>
      </c>
      <c r="AC26" s="2"/>
      <c r="AD26" t="s">
        <v>46</v>
      </c>
      <c r="AE26" s="8">
        <v>46155.560022106481</v>
      </c>
      <c r="AF26" s="6" t="e">
        <f t="shared" si="18"/>
        <v>#DIV/0!</v>
      </c>
      <c r="AG26" s="6" t="e">
        <f>+Tabla9[[#This Row],[CUMPLIMIENTO]]&lt;100%</f>
        <v>#DIV/0!</v>
      </c>
      <c r="AH26" s="12">
        <f>((( (Tabla9[[#This Row],[FTP_CIERRE_MES]]/100)+1)^(30/360) -1)*(36000/30))/36000</f>
        <v>1.2239493171416853E-4</v>
      </c>
      <c r="AI26" s="3">
        <f>Tabla9[[#This Row],[FTP_DIARIO]]*Tabla9[[#This Row],[SALDO_PROM_CORREGIDO]]*Tabla9[[#This Row],[DIAS]]</f>
        <v>0</v>
      </c>
      <c r="AJ26" s="3">
        <f>Tabla9[[#This Row],[REAL_FTP_MONTO]]-Tabla9[[#This Row],[INT_REAL]]</f>
        <v>-666.25149999999996</v>
      </c>
      <c r="AK26" s="3">
        <f>Tabla9[[#This Row],[FTP_DIARIO]]*Tabla9[[#This Row],[COMPROMISO]]*Tabla9[[#This Row],[DIAS]]</f>
        <v>0</v>
      </c>
      <c r="AL26" s="13">
        <f>((( (Tabla9[[#This Row],[TASA_INT]])+1)^(30/360) -1)*(36000/30))/36000</f>
        <v>6.4856973856660302E-5</v>
      </c>
      <c r="AM26" s="3">
        <f>Tabla9[[#This Row],[TEA DIARIA]]*Tabla9[[#This Row],[SALDO_PROM_CORREGIDO]]*Tabla9[[#This Row],[DIAS]]</f>
        <v>0</v>
      </c>
      <c r="AN26" s="3">
        <f>Tabla9[[#This Row],[TEA DIARIA]]*Tabla9[[#This Row],[COMPROMISO]]*Tabla9[[#This Row],[DIAS]]</f>
        <v>0</v>
      </c>
      <c r="AO26" s="14">
        <f>+Tabla9[[#This Row],[PROYECTADO_FTP_MONTO]]-Tabla9[[#This Row],[PROYECCION_INTERES]]</f>
        <v>0</v>
      </c>
      <c r="AP26" s="3">
        <f>Tabla9[[#This Row],[PROYECCION_MARGEN(FTP - Int compromiso)]]-Tabla9[[#This Row],[REAL_MARGEN(FTP - Int)]]</f>
        <v>666.25149999999996</v>
      </c>
    </row>
    <row r="27" spans="1:42" x14ac:dyDescent="0.35">
      <c r="A27">
        <v>202604</v>
      </c>
      <c r="B27" s="7">
        <v>46142</v>
      </c>
      <c r="C27">
        <v>1553387</v>
      </c>
      <c r="D27" t="s">
        <v>42</v>
      </c>
      <c r="E27" t="s">
        <v>47</v>
      </c>
      <c r="F27" t="s">
        <v>80</v>
      </c>
      <c r="G27" t="s">
        <v>47</v>
      </c>
      <c r="H27" t="s">
        <v>494</v>
      </c>
      <c r="I27" t="s">
        <v>243</v>
      </c>
      <c r="J27" t="str">
        <f t="shared" si="19"/>
        <v>4.4963</v>
      </c>
      <c r="K27" t="s">
        <v>32</v>
      </c>
      <c r="L27" t="s">
        <v>33</v>
      </c>
      <c r="M27" t="s">
        <v>31</v>
      </c>
      <c r="N27" t="s">
        <v>270</v>
      </c>
      <c r="O27" t="s">
        <v>44</v>
      </c>
      <c r="P27" s="9">
        <v>616528.09069999994</v>
      </c>
      <c r="Q27" s="3">
        <v>617633.52</v>
      </c>
      <c r="R27" s="4">
        <v>4.4999999999999998E-2</v>
      </c>
      <c r="T27" s="4">
        <v>2.35E-2</v>
      </c>
      <c r="U27" s="4">
        <v>2.1499999999999998E-2</v>
      </c>
      <c r="V27" s="3">
        <v>2263.8000000000002</v>
      </c>
      <c r="W27" s="3">
        <v>1193.5400999999999</v>
      </c>
      <c r="X27" s="3">
        <v>1070.2599</v>
      </c>
      <c r="Y27" s="3">
        <v>0</v>
      </c>
      <c r="Z27" s="3">
        <v>1070.2599</v>
      </c>
      <c r="AA27">
        <v>30</v>
      </c>
      <c r="AB27" t="b">
        <f t="shared" si="1"/>
        <v>1</v>
      </c>
      <c r="AC27" s="2"/>
      <c r="AD27" t="s">
        <v>46</v>
      </c>
      <c r="AE27" s="8">
        <v>46155.560022106481</v>
      </c>
      <c r="AF27" s="6" t="e">
        <f t="shared" si="18"/>
        <v>#DIV/0!</v>
      </c>
      <c r="AG27" s="6" t="e">
        <f>+Tabla9[[#This Row],[CUMPLIMIENTO]]&lt;100%</f>
        <v>#DIV/0!</v>
      </c>
      <c r="AH27" s="12">
        <f>((( (Tabla9[[#This Row],[FTP_CIERRE_MES]]/100)+1)^(30/360) -1)*(36000/30))/36000</f>
        <v>1.2239493171416853E-4</v>
      </c>
      <c r="AI27" s="3">
        <f>Tabla9[[#This Row],[FTP_DIARIO]]*Tabla9[[#This Row],[SALDO_PROM_CORREGIDO]]*Tabla9[[#This Row],[DIAS]]</f>
        <v>0</v>
      </c>
      <c r="AJ27" s="3">
        <f>Tabla9[[#This Row],[REAL_FTP_MONTO]]-Tabla9[[#This Row],[INT_REAL]]</f>
        <v>-1193.5400999999999</v>
      </c>
      <c r="AK27" s="3">
        <f>Tabla9[[#This Row],[FTP_DIARIO]]*Tabla9[[#This Row],[COMPROMISO]]*Tabla9[[#This Row],[DIAS]]</f>
        <v>0</v>
      </c>
      <c r="AL27" s="13">
        <f>((( (Tabla9[[#This Row],[TASA_INT]])+1)^(30/360) -1)*(36000/30))/36000</f>
        <v>6.4585060301084837E-5</v>
      </c>
      <c r="AM27" s="3">
        <f>Tabla9[[#This Row],[TEA DIARIA]]*Tabla9[[#This Row],[SALDO_PROM_CORREGIDO]]*Tabla9[[#This Row],[DIAS]]</f>
        <v>0</v>
      </c>
      <c r="AN27" s="3">
        <f>Tabla9[[#This Row],[TEA DIARIA]]*Tabla9[[#This Row],[COMPROMISO]]*Tabla9[[#This Row],[DIAS]]</f>
        <v>0</v>
      </c>
      <c r="AO27" s="14">
        <f>+Tabla9[[#This Row],[PROYECTADO_FTP_MONTO]]-Tabla9[[#This Row],[PROYECCION_INTERES]]</f>
        <v>0</v>
      </c>
      <c r="AP27" s="3">
        <f>Tabla9[[#This Row],[PROYECCION_MARGEN(FTP - Int compromiso)]]-Tabla9[[#This Row],[REAL_MARGEN(FTP - Int)]]</f>
        <v>1193.5400999999999</v>
      </c>
    </row>
    <row r="28" spans="1:42" x14ac:dyDescent="0.35">
      <c r="A28">
        <v>202604</v>
      </c>
      <c r="B28" s="7">
        <v>46142</v>
      </c>
      <c r="C28">
        <v>1553387</v>
      </c>
      <c r="D28" t="s">
        <v>42</v>
      </c>
      <c r="E28" t="s">
        <v>47</v>
      </c>
      <c r="F28" t="s">
        <v>80</v>
      </c>
      <c r="G28" t="s">
        <v>47</v>
      </c>
      <c r="H28" t="s">
        <v>494</v>
      </c>
      <c r="I28" t="s">
        <v>243</v>
      </c>
      <c r="J28" t="str">
        <f t="shared" si="19"/>
        <v>4.4963</v>
      </c>
      <c r="K28" t="s">
        <v>32</v>
      </c>
      <c r="L28" t="s">
        <v>33</v>
      </c>
      <c r="M28" t="s">
        <v>31</v>
      </c>
      <c r="N28" t="s">
        <v>271</v>
      </c>
      <c r="O28" t="s">
        <v>44</v>
      </c>
      <c r="P28" s="9">
        <v>650884.80989999999</v>
      </c>
      <c r="Q28" s="3">
        <v>652756.97</v>
      </c>
      <c r="R28" s="4">
        <v>4.4999999999999998E-2</v>
      </c>
      <c r="S28" s="10">
        <f>+SUM(P24:P28)</f>
        <v>1979717.4700999998</v>
      </c>
      <c r="T28" s="4">
        <v>2.35E-2</v>
      </c>
      <c r="U28" s="4">
        <v>2.1499999999999998E-2</v>
      </c>
      <c r="V28" s="3">
        <v>2389.9515999999999</v>
      </c>
      <c r="W28" s="3">
        <v>1260.0588</v>
      </c>
      <c r="X28" s="3">
        <v>1129.8928000000001</v>
      </c>
      <c r="Y28" s="3">
        <v>0</v>
      </c>
      <c r="Z28" s="3">
        <v>1129.8928000000001</v>
      </c>
      <c r="AA28">
        <v>30</v>
      </c>
      <c r="AB28" t="b">
        <f t="shared" si="1"/>
        <v>1</v>
      </c>
      <c r="AC28" s="10">
        <v>1000000</v>
      </c>
      <c r="AD28" t="s">
        <v>46</v>
      </c>
      <c r="AE28" s="8">
        <v>46155.560022106481</v>
      </c>
      <c r="AF28" s="6">
        <f t="shared" si="18"/>
        <v>1.9797174700999998</v>
      </c>
      <c r="AG28" s="6" t="b">
        <f>+Tabla9[[#This Row],[CUMPLIMIENTO]]&lt;100%</f>
        <v>0</v>
      </c>
      <c r="AH28" s="12">
        <f>((( (Tabla9[[#This Row],[FTP_CIERRE_MES]]/100)+1)^(30/360) -1)*(36000/30))/36000</f>
        <v>1.2239493171416853E-4</v>
      </c>
      <c r="AI28" s="3">
        <f>Tabla9[[#This Row],[FTP_DIARIO]]*Tabla9[[#This Row],[SALDO_PROM_CORREGIDO]]*Tabla9[[#This Row],[DIAS]]</f>
        <v>7269.2215369870783</v>
      </c>
      <c r="AJ28" s="3">
        <f>Tabla9[[#This Row],[REAL_FTP_MONTO]]-Tabla9[[#This Row],[INT_REAL]]</f>
        <v>6009.1627369870785</v>
      </c>
      <c r="AK28" s="3">
        <f>Tabla9[[#This Row],[FTP_DIARIO]]*Tabla9[[#This Row],[COMPROMISO]]*Tabla9[[#This Row],[DIAS]]</f>
        <v>3671.8479514250557</v>
      </c>
      <c r="AL28" s="13">
        <f>((( (Tabla9[[#This Row],[TASA_INT]])+1)^(30/360) -1)*(36000/30))/36000</f>
        <v>6.4585060301084837E-5</v>
      </c>
      <c r="AM28" s="3">
        <f>Tabla9[[#This Row],[TEA DIARIA]]*Tabla9[[#This Row],[SALDO_PROM_CORREGIDO]]*Tabla9[[#This Row],[DIAS]]</f>
        <v>3835.8051655655881</v>
      </c>
      <c r="AN28" s="3">
        <f>Tabla9[[#This Row],[TEA DIARIA]]*Tabla9[[#This Row],[COMPROMISO]]*Tabla9[[#This Row],[DIAS]]</f>
        <v>1937.5518090325452</v>
      </c>
      <c r="AO28" s="14">
        <f>+Tabla9[[#This Row],[PROYECTADO_FTP_MONTO]]-Tabla9[[#This Row],[PROYECCION_INTERES]]</f>
        <v>1734.2961423925105</v>
      </c>
      <c r="AP28" s="3">
        <f>Tabla9[[#This Row],[PROYECCION_MARGEN(FTP - Int compromiso)]]-Tabla9[[#This Row],[REAL_MARGEN(FTP - Int)]]</f>
        <v>-4274.8665945945677</v>
      </c>
    </row>
    <row r="29" spans="1:42" x14ac:dyDescent="0.35">
      <c r="A29">
        <v>202604</v>
      </c>
      <c r="B29" s="7">
        <v>46142</v>
      </c>
      <c r="C29">
        <v>1634351</v>
      </c>
      <c r="D29" t="s">
        <v>42</v>
      </c>
      <c r="E29" t="s">
        <v>47</v>
      </c>
      <c r="F29" t="s">
        <v>81</v>
      </c>
      <c r="G29" t="s">
        <v>47</v>
      </c>
      <c r="H29" t="s">
        <v>494</v>
      </c>
      <c r="I29" t="s">
        <v>243</v>
      </c>
      <c r="J29" t="str">
        <f t="shared" si="19"/>
        <v>4.4963</v>
      </c>
      <c r="K29" t="s">
        <v>32</v>
      </c>
      <c r="L29" t="s">
        <v>33</v>
      </c>
      <c r="M29" t="s">
        <v>31</v>
      </c>
      <c r="N29" t="s">
        <v>272</v>
      </c>
      <c r="O29" t="s">
        <v>44</v>
      </c>
      <c r="P29" s="3">
        <v>17318642.828299999</v>
      </c>
      <c r="Q29" s="3">
        <v>17384668.079999998</v>
      </c>
      <c r="R29" s="4">
        <v>4.4999999999999998E-2</v>
      </c>
      <c r="S29" s="3">
        <f>+Tabla9[[#This Row],[SAL_PROM_SOL]]</f>
        <v>17318642.828299999</v>
      </c>
      <c r="T29" s="4">
        <v>2.2200000000000001E-2</v>
      </c>
      <c r="U29" s="4">
        <v>2.2800000000000001E-2</v>
      </c>
      <c r="V29" s="3">
        <v>63591.421600000001</v>
      </c>
      <c r="W29" s="3">
        <v>31756.7412</v>
      </c>
      <c r="X29" s="3">
        <v>31834.680400000001</v>
      </c>
      <c r="Y29" s="3">
        <v>1.6492</v>
      </c>
      <c r="Z29" s="3">
        <v>31833.031200000001</v>
      </c>
      <c r="AA29">
        <v>30</v>
      </c>
      <c r="AB29" t="b">
        <f t="shared" si="1"/>
        <v>1</v>
      </c>
      <c r="AC29" s="3">
        <v>19000000</v>
      </c>
      <c r="AD29" t="s">
        <v>46</v>
      </c>
      <c r="AE29" s="8">
        <v>46155.560022106481</v>
      </c>
      <c r="AF29" s="6">
        <f t="shared" ref="AF29" si="20">S29/AC29</f>
        <v>0.9115075172789473</v>
      </c>
      <c r="AG29" s="6" t="b">
        <f>+Tabla9[[#This Row],[CUMPLIMIENTO]]&lt;100%</f>
        <v>1</v>
      </c>
      <c r="AH29" s="12">
        <f>((( (Tabla9[[#This Row],[FTP_CIERRE_MES]]/100)+1)^(30/360) -1)*(36000/30))/36000</f>
        <v>1.2239493171416853E-4</v>
      </c>
      <c r="AI29" s="3">
        <f>Tabla9[[#This Row],[FTP_DIARIO]]*Tabla9[[#This Row],[SALDO_PROM_CORREGIDO]]*Tabla9[[#This Row],[DIAS]]</f>
        <v>63591.423190555586</v>
      </c>
      <c r="AJ29" s="3">
        <f>Tabla9[[#This Row],[REAL_FTP_MONTO]]-Tabla9[[#This Row],[INT_REAL]]</f>
        <v>31834.681990555586</v>
      </c>
      <c r="AK29" s="3">
        <f>Tabla9[[#This Row],[FTP_DIARIO]]*Tabla9[[#This Row],[COMPROMISO]]*Tabla9[[#This Row],[DIAS]]</f>
        <v>69765.111077076057</v>
      </c>
      <c r="AL29" s="13">
        <f>((( (Tabla9[[#This Row],[TASA_INT]])+1)^(30/360) -1)*(36000/30))/36000</f>
        <v>6.1047966184638955E-5</v>
      </c>
      <c r="AM29" s="3">
        <f>Tabla9[[#This Row],[TEA DIARIA]]*Tabla9[[#This Row],[SALDO_PROM_CORREGIDO]]*Tabla9[[#This Row],[DIAS]]</f>
        <v>31718.037652376948</v>
      </c>
      <c r="AN29" s="3">
        <f>Tabla9[[#This Row],[TEA DIARIA]]*Tabla9[[#This Row],[COMPROMISO]]*Tabla9[[#This Row],[DIAS]]</f>
        <v>34797.340725244205</v>
      </c>
      <c r="AO29" s="14">
        <f>+Tabla9[[#This Row],[PROYECTADO_FTP_MONTO]]-Tabla9[[#This Row],[PROYECCION_INTERES]]</f>
        <v>34967.770351831852</v>
      </c>
      <c r="AP29" s="3">
        <f>Tabla9[[#This Row],[PROYECCION_MARGEN(FTP - Int compromiso)]]-Tabla9[[#This Row],[REAL_MARGEN(FTP - Int)]]</f>
        <v>3133.0883612762664</v>
      </c>
    </row>
    <row r="30" spans="1:42" x14ac:dyDescent="0.35">
      <c r="A30">
        <v>202604</v>
      </c>
      <c r="B30" s="7">
        <v>46142</v>
      </c>
      <c r="C30">
        <v>1841238</v>
      </c>
      <c r="D30" t="s">
        <v>36</v>
      </c>
      <c r="E30" t="s">
        <v>37</v>
      </c>
      <c r="F30" t="s">
        <v>82</v>
      </c>
      <c r="G30" t="s">
        <v>37</v>
      </c>
      <c r="H30" t="s">
        <v>491</v>
      </c>
      <c r="I30" t="s">
        <v>244</v>
      </c>
      <c r="J30" t="str">
        <f t="shared" ref="J30:J34" si="21">IF(I30="SOLES","4.4963","3.388")</f>
        <v>3.388</v>
      </c>
      <c r="K30" t="s">
        <v>32</v>
      </c>
      <c r="L30" t="s">
        <v>33</v>
      </c>
      <c r="M30" t="s">
        <v>34</v>
      </c>
      <c r="N30" t="s">
        <v>273</v>
      </c>
      <c r="O30" t="s">
        <v>44</v>
      </c>
      <c r="P30" s="3">
        <v>38656.902199999997</v>
      </c>
      <c r="Q30" s="3">
        <v>108419.5438</v>
      </c>
      <c r="R30" s="4">
        <v>3.39E-2</v>
      </c>
      <c r="S30" s="3">
        <f>+Tabla9[[#This Row],[SAL_PROM_SOL]]</f>
        <v>38656.902199999997</v>
      </c>
      <c r="T30" s="4">
        <v>0</v>
      </c>
      <c r="U30" s="4">
        <v>3.39E-2</v>
      </c>
      <c r="V30" s="3">
        <v>107.4905</v>
      </c>
      <c r="W30" s="3">
        <v>0</v>
      </c>
      <c r="X30" s="3">
        <v>107.4905</v>
      </c>
      <c r="Y30" s="3">
        <v>0</v>
      </c>
      <c r="Z30" s="3">
        <v>107.4905</v>
      </c>
      <c r="AA30">
        <v>30</v>
      </c>
      <c r="AB30" t="b">
        <f t="shared" si="1"/>
        <v>1</v>
      </c>
      <c r="AC30" s="3">
        <v>296000</v>
      </c>
      <c r="AD30" t="s">
        <v>45</v>
      </c>
      <c r="AE30" s="8">
        <v>46155.560022106481</v>
      </c>
      <c r="AF30" s="6">
        <f t="shared" ref="AF30:AF31" si="22">S30/AC30</f>
        <v>0.13059764256756756</v>
      </c>
      <c r="AG30" s="6" t="b">
        <f>+Tabla9[[#This Row],[CUMPLIMIENTO]]&lt;100%</f>
        <v>1</v>
      </c>
      <c r="AH30" s="12">
        <f>((( (Tabla9[[#This Row],[FTP_CIERRE_MES]]/100)+1)^(30/360) -1)*(36000/30))/36000</f>
        <v>9.2680593701059222E-5</v>
      </c>
      <c r="AI30" s="3">
        <f>Tabla9[[#This Row],[FTP_DIARIO]]*Tabla9[[#This Row],[SALDO_PROM_CORREGIDO]]*Tabla9[[#This Row],[DIAS]]</f>
        <v>107.48233939619347</v>
      </c>
      <c r="AJ30" s="3">
        <f>Tabla9[[#This Row],[REAL_FTP_MONTO]]-Tabla9[[#This Row],[INT_REAL]]</f>
        <v>107.48233939619347</v>
      </c>
      <c r="AK30" s="3">
        <f>Tabla9[[#This Row],[FTP_DIARIO]]*Tabla9[[#This Row],[COMPROMISO]]*Tabla9[[#This Row],[DIAS]]</f>
        <v>823.00367206540591</v>
      </c>
      <c r="AL30" s="13">
        <f>((( (Tabla9[[#This Row],[TASA_INT]])+1)^(30/360) -1)*(36000/30))/36000</f>
        <v>0</v>
      </c>
      <c r="AM30" s="3">
        <f>Tabla9[[#This Row],[TEA DIARIA]]*Tabla9[[#This Row],[SALDO_PROM_CORREGIDO]]*Tabla9[[#This Row],[DIAS]]</f>
        <v>0</v>
      </c>
      <c r="AN30" s="3">
        <f>Tabla9[[#This Row],[TEA DIARIA]]*Tabla9[[#This Row],[COMPROMISO]]*Tabla9[[#This Row],[DIAS]]</f>
        <v>0</v>
      </c>
      <c r="AO30" s="14">
        <f>+Tabla9[[#This Row],[PROYECTADO_FTP_MONTO]]-Tabla9[[#This Row],[PROYECCION_INTERES]]</f>
        <v>823.00367206540591</v>
      </c>
      <c r="AP30" s="3">
        <f>Tabla9[[#This Row],[PROYECCION_MARGEN(FTP - Int compromiso)]]-Tabla9[[#This Row],[REAL_MARGEN(FTP - Int)]]</f>
        <v>715.52133266921248</v>
      </c>
    </row>
    <row r="31" spans="1:42" x14ac:dyDescent="0.35">
      <c r="A31">
        <v>202604</v>
      </c>
      <c r="B31" s="7">
        <v>46142</v>
      </c>
      <c r="C31">
        <v>1841238</v>
      </c>
      <c r="D31" t="s">
        <v>36</v>
      </c>
      <c r="E31" t="s">
        <v>37</v>
      </c>
      <c r="F31" t="s">
        <v>82</v>
      </c>
      <c r="G31" t="s">
        <v>37</v>
      </c>
      <c r="H31" t="s">
        <v>491</v>
      </c>
      <c r="I31" t="s">
        <v>243</v>
      </c>
      <c r="J31" t="str">
        <f t="shared" si="21"/>
        <v>4.4963</v>
      </c>
      <c r="K31" t="s">
        <v>32</v>
      </c>
      <c r="L31" t="s">
        <v>33</v>
      </c>
      <c r="M31" t="s">
        <v>31</v>
      </c>
      <c r="N31" t="s">
        <v>274</v>
      </c>
      <c r="O31" t="s">
        <v>44</v>
      </c>
      <c r="P31" s="3">
        <v>1527283.9301</v>
      </c>
      <c r="Q31" s="3">
        <v>442636.02</v>
      </c>
      <c r="R31" s="4">
        <v>4.4999999999999998E-2</v>
      </c>
      <c r="S31" s="3">
        <f>+Tabla9[[#This Row],[SAL_PROM_SOL]]</f>
        <v>1527283.9301</v>
      </c>
      <c r="T31" s="4">
        <v>4.7000000000000002E-3</v>
      </c>
      <c r="U31" s="4">
        <v>4.0300000000000002E-2</v>
      </c>
      <c r="V31" s="3">
        <v>5607.9515000000001</v>
      </c>
      <c r="W31" s="3">
        <v>593.5009</v>
      </c>
      <c r="X31" s="3">
        <v>5014.4506000000001</v>
      </c>
      <c r="Y31" s="3">
        <v>43.9499</v>
      </c>
      <c r="Z31" s="3">
        <v>4970.5006999999996</v>
      </c>
      <c r="AA31">
        <v>30</v>
      </c>
      <c r="AB31" t="b">
        <f t="shared" si="1"/>
        <v>1</v>
      </c>
      <c r="AC31" s="3">
        <v>1000000</v>
      </c>
      <c r="AD31" t="s">
        <v>45</v>
      </c>
      <c r="AE31" s="8">
        <v>46155.560022106481</v>
      </c>
      <c r="AF31" s="6">
        <f t="shared" si="22"/>
        <v>1.5272839301000001</v>
      </c>
      <c r="AG31" s="6" t="b">
        <f>+Tabla9[[#This Row],[CUMPLIMIENTO]]&lt;100%</f>
        <v>0</v>
      </c>
      <c r="AH31" s="12">
        <f>((( (Tabla9[[#This Row],[FTP_CIERRE_MES]]/100)+1)^(30/360) -1)*(36000/30))/36000</f>
        <v>1.2239493171416853E-4</v>
      </c>
      <c r="AI31" s="3">
        <f>Tabla9[[#This Row],[FTP_DIARIO]]*Tabla9[[#This Row],[SALDO_PROM_CORREGIDO]]*Tabla9[[#This Row],[DIAS]]</f>
        <v>5607.9543699820924</v>
      </c>
      <c r="AJ31" s="3">
        <f>Tabla9[[#This Row],[REAL_FTP_MONTO]]-Tabla9[[#This Row],[INT_REAL]]</f>
        <v>5014.4534699820924</v>
      </c>
      <c r="AK31" s="3">
        <f>Tabla9[[#This Row],[FTP_DIARIO]]*Tabla9[[#This Row],[COMPROMISO]]*Tabla9[[#This Row],[DIAS]]</f>
        <v>3671.8479514250557</v>
      </c>
      <c r="AL31" s="13">
        <f>((( (Tabla9[[#This Row],[TASA_INT]])+1)^(30/360) -1)*(36000/30))/36000</f>
        <v>1.3027515874256916E-5</v>
      </c>
      <c r="AM31" s="3">
        <f>Tabla9[[#This Row],[TEA DIARIA]]*Tabla9[[#This Row],[SALDO_PROM_CORREGIDO]]*Tabla9[[#This Row],[DIAS]]</f>
        <v>596.90146931625713</v>
      </c>
      <c r="AN31" s="3">
        <f>Tabla9[[#This Row],[TEA DIARIA]]*Tabla9[[#This Row],[COMPROMISO]]*Tabla9[[#This Row],[DIAS]]</f>
        <v>390.8254762277075</v>
      </c>
      <c r="AO31" s="14">
        <f>+Tabla9[[#This Row],[PROYECTADO_FTP_MONTO]]-Tabla9[[#This Row],[PROYECCION_INTERES]]</f>
        <v>3281.0224751973483</v>
      </c>
      <c r="AP31" s="3">
        <f>Tabla9[[#This Row],[PROYECCION_MARGEN(FTP - Int compromiso)]]-Tabla9[[#This Row],[REAL_MARGEN(FTP - Int)]]</f>
        <v>-1733.4309947847441</v>
      </c>
    </row>
    <row r="32" spans="1:42" x14ac:dyDescent="0.35">
      <c r="A32">
        <v>202604</v>
      </c>
      <c r="B32" s="7">
        <v>46142</v>
      </c>
      <c r="C32">
        <v>1966548</v>
      </c>
      <c r="D32" t="s">
        <v>36</v>
      </c>
      <c r="E32" t="s">
        <v>37</v>
      </c>
      <c r="F32" t="s">
        <v>83</v>
      </c>
      <c r="G32" t="s">
        <v>37</v>
      </c>
      <c r="H32" t="s">
        <v>498</v>
      </c>
      <c r="I32" t="s">
        <v>244</v>
      </c>
      <c r="J32" t="str">
        <f t="shared" si="21"/>
        <v>3.388</v>
      </c>
      <c r="K32" t="s">
        <v>32</v>
      </c>
      <c r="L32" t="s">
        <v>33</v>
      </c>
      <c r="M32" t="s">
        <v>34</v>
      </c>
      <c r="N32" t="s">
        <v>275</v>
      </c>
      <c r="O32" t="s">
        <v>44</v>
      </c>
      <c r="P32" s="3">
        <v>1814411.6274000001</v>
      </c>
      <c r="Q32" s="3">
        <v>2287163.0602000002</v>
      </c>
      <c r="R32" s="4">
        <v>3.39E-2</v>
      </c>
      <c r="S32" s="3">
        <f>+Tabla9[[#This Row],[SAL_PROM_SOL]]</f>
        <v>1814411.6274000001</v>
      </c>
      <c r="T32" s="4">
        <v>3.5000000000000001E-3</v>
      </c>
      <c r="U32" s="4">
        <v>3.04E-2</v>
      </c>
      <c r="V32" s="3">
        <v>5044.8212999999996</v>
      </c>
      <c r="W32" s="3">
        <v>528.36279999999999</v>
      </c>
      <c r="X32" s="3">
        <v>4516.4584999999997</v>
      </c>
      <c r="Y32" s="3">
        <v>0</v>
      </c>
      <c r="Z32" s="3">
        <v>4516.4584999999997</v>
      </c>
      <c r="AA32">
        <v>30</v>
      </c>
      <c r="AB32" t="b">
        <f t="shared" si="1"/>
        <v>1</v>
      </c>
      <c r="AC32" s="3">
        <v>15000000</v>
      </c>
      <c r="AD32" t="s">
        <v>46</v>
      </c>
      <c r="AE32" s="8">
        <v>46155.560022106481</v>
      </c>
      <c r="AF32" s="6">
        <f t="shared" ref="AF32:AF35" si="23">S32/AC32</f>
        <v>0.12096077516000001</v>
      </c>
      <c r="AG32" s="6" t="b">
        <f>+Tabla9[[#This Row],[CUMPLIMIENTO]]&lt;100%</f>
        <v>1</v>
      </c>
      <c r="AH32" s="12">
        <f>((( (Tabla9[[#This Row],[FTP_CIERRE_MES]]/100)+1)^(30/360) -1)*(36000/30))/36000</f>
        <v>9.2680593701059222E-5</v>
      </c>
      <c r="AI32" s="3">
        <f>Tabla9[[#This Row],[FTP_DIARIO]]*Tabla9[[#This Row],[SALDO_PROM_CORREGIDO]]*Tabla9[[#This Row],[DIAS]]</f>
        <v>5044.8224053661115</v>
      </c>
      <c r="AJ32" s="3">
        <f>Tabla9[[#This Row],[REAL_FTP_MONTO]]-Tabla9[[#This Row],[INT_REAL]]</f>
        <v>4516.4596053661116</v>
      </c>
      <c r="AK32" s="3">
        <f>Tabla9[[#This Row],[FTP_DIARIO]]*Tabla9[[#This Row],[COMPROMISO]]*Tabla9[[#This Row],[DIAS]]</f>
        <v>41706.267165476653</v>
      </c>
      <c r="AL32" s="13">
        <f>((( (Tabla9[[#This Row],[TASA_INT]])+1)^(30/360) -1)*(36000/30))/36000</f>
        <v>9.7066609431835826E-6</v>
      </c>
      <c r="AM32" s="3">
        <f>Tabla9[[#This Row],[TEA DIARIA]]*Tabla9[[#This Row],[SALDO_PROM_CORREGIDO]]*Tabla9[[#This Row],[DIAS]]</f>
        <v>528.35635435625227</v>
      </c>
      <c r="AN32" s="3">
        <f>Tabla9[[#This Row],[TEA DIARIA]]*Tabla9[[#This Row],[COMPROMISO]]*Tabla9[[#This Row],[DIAS]]</f>
        <v>4367.9974244326122</v>
      </c>
      <c r="AO32" s="14">
        <f>+Tabla9[[#This Row],[PROYECTADO_FTP_MONTO]]-Tabla9[[#This Row],[PROYECCION_INTERES]]</f>
        <v>37338.269741044038</v>
      </c>
      <c r="AP32" s="3">
        <f>Tabla9[[#This Row],[PROYECCION_MARGEN(FTP - Int compromiso)]]-Tabla9[[#This Row],[REAL_MARGEN(FTP - Int)]]</f>
        <v>32821.810135677923</v>
      </c>
    </row>
    <row r="33" spans="1:42" x14ac:dyDescent="0.35">
      <c r="A33">
        <v>202604</v>
      </c>
      <c r="B33" s="7">
        <v>46142</v>
      </c>
      <c r="C33">
        <v>1966548</v>
      </c>
      <c r="D33" t="s">
        <v>36</v>
      </c>
      <c r="E33" t="s">
        <v>37</v>
      </c>
      <c r="F33" t="s">
        <v>83</v>
      </c>
      <c r="G33" t="s">
        <v>37</v>
      </c>
      <c r="H33" t="s">
        <v>498</v>
      </c>
      <c r="I33" t="s">
        <v>243</v>
      </c>
      <c r="J33" t="str">
        <f t="shared" si="21"/>
        <v>4.4963</v>
      </c>
      <c r="K33" t="s">
        <v>32</v>
      </c>
      <c r="L33" t="s">
        <v>33</v>
      </c>
      <c r="M33" t="s">
        <v>31</v>
      </c>
      <c r="N33" t="s">
        <v>276</v>
      </c>
      <c r="O33" t="s">
        <v>44</v>
      </c>
      <c r="P33" s="3">
        <v>666160.41960000002</v>
      </c>
      <c r="Q33" s="3">
        <v>507314.42</v>
      </c>
      <c r="R33" s="4">
        <v>4.4999999999999998E-2</v>
      </c>
      <c r="S33" s="3">
        <f>+Tabla9[[#This Row],[SAL_PROM_SOL]]</f>
        <v>666160.41960000002</v>
      </c>
      <c r="T33" s="4">
        <v>1.0500000000000001E-2</v>
      </c>
      <c r="U33" s="4">
        <v>3.4500000000000003E-2</v>
      </c>
      <c r="V33" s="3">
        <v>2446.0414999999998</v>
      </c>
      <c r="W33" s="3">
        <v>580.09040000000005</v>
      </c>
      <c r="X33" s="3">
        <v>1865.9511</v>
      </c>
      <c r="Y33" s="3">
        <v>0</v>
      </c>
      <c r="Z33" s="3">
        <v>1865.9511</v>
      </c>
      <c r="AA33">
        <v>30</v>
      </c>
      <c r="AB33" t="b">
        <f t="shared" si="1"/>
        <v>1</v>
      </c>
      <c r="AC33" s="3">
        <v>15000000</v>
      </c>
      <c r="AD33" t="s">
        <v>46</v>
      </c>
      <c r="AE33" s="8">
        <v>46155.560022106481</v>
      </c>
      <c r="AF33" s="6">
        <f t="shared" si="23"/>
        <v>4.4410694640000005E-2</v>
      </c>
      <c r="AG33" s="6" t="b">
        <f>+Tabla9[[#This Row],[CUMPLIMIENTO]]&lt;100%</f>
        <v>1</v>
      </c>
      <c r="AH33" s="12">
        <f>((( (Tabla9[[#This Row],[FTP_CIERRE_MES]]/100)+1)^(30/360) -1)*(36000/30))/36000</f>
        <v>1.2239493171416853E-4</v>
      </c>
      <c r="AI33" s="3">
        <f>Tabla9[[#This Row],[FTP_DIARIO]]*Tabla9[[#This Row],[SALDO_PROM_CORREGIDO]]*Tabla9[[#This Row],[DIAS]]</f>
        <v>2446.0397720287156</v>
      </c>
      <c r="AJ33" s="3">
        <f>Tabla9[[#This Row],[REAL_FTP_MONTO]]-Tabla9[[#This Row],[INT_REAL]]</f>
        <v>1865.9493720287155</v>
      </c>
      <c r="AK33" s="3">
        <f>Tabla9[[#This Row],[FTP_DIARIO]]*Tabla9[[#This Row],[COMPROMISO]]*Tabla9[[#This Row],[DIAS]]</f>
        <v>55077.719271375834</v>
      </c>
      <c r="AL33" s="13">
        <f>((( (Tabla9[[#This Row],[TASA_INT]])+1)^(30/360) -1)*(36000/30))/36000</f>
        <v>2.9027236545312955E-5</v>
      </c>
      <c r="AM33" s="3">
        <f>Tabla9[[#This Row],[TEA DIARIA]]*Tabla9[[#This Row],[SALDO_PROM_CORREGIDO]]*Tabla9[[#This Row],[DIAS]]</f>
        <v>580.10388230562398</v>
      </c>
      <c r="AN33" s="3">
        <f>Tabla9[[#This Row],[TEA DIARIA]]*Tabla9[[#This Row],[COMPROMISO]]*Tabla9[[#This Row],[DIAS]]</f>
        <v>13062.256445390829</v>
      </c>
      <c r="AO33" s="14">
        <f>+Tabla9[[#This Row],[PROYECTADO_FTP_MONTO]]-Tabla9[[#This Row],[PROYECCION_INTERES]]</f>
        <v>42015.462825985007</v>
      </c>
      <c r="AP33" s="3">
        <f>Tabla9[[#This Row],[PROYECCION_MARGEN(FTP - Int compromiso)]]-Tabla9[[#This Row],[REAL_MARGEN(FTP - Int)]]</f>
        <v>40149.513453956293</v>
      </c>
    </row>
    <row r="34" spans="1:42" x14ac:dyDescent="0.35">
      <c r="A34">
        <v>202604</v>
      </c>
      <c r="B34" s="7">
        <v>46142</v>
      </c>
      <c r="C34">
        <v>2073245</v>
      </c>
      <c r="D34" t="s">
        <v>42</v>
      </c>
      <c r="E34" t="s">
        <v>48</v>
      </c>
      <c r="F34" t="s">
        <v>84</v>
      </c>
      <c r="G34" t="s">
        <v>48</v>
      </c>
      <c r="H34" t="s">
        <v>497</v>
      </c>
      <c r="I34" t="s">
        <v>244</v>
      </c>
      <c r="J34" t="str">
        <f t="shared" si="21"/>
        <v>3.388</v>
      </c>
      <c r="K34" t="s">
        <v>32</v>
      </c>
      <c r="L34" t="s">
        <v>41</v>
      </c>
      <c r="M34" t="s">
        <v>34</v>
      </c>
      <c r="N34" t="s">
        <v>277</v>
      </c>
      <c r="O34" t="s">
        <v>44</v>
      </c>
      <c r="P34" s="3">
        <v>6228502.5126</v>
      </c>
      <c r="Q34" s="3">
        <v>6324736.2466000002</v>
      </c>
      <c r="R34" s="4">
        <v>3.5200000000000002E-2</v>
      </c>
      <c r="S34" s="3">
        <f>+Tabla9[[#This Row],[SAL_PROM_SOL]]</f>
        <v>6228502.5126</v>
      </c>
      <c r="T34" s="4">
        <v>3.2000000000000001E-2</v>
      </c>
      <c r="U34" s="4">
        <v>3.2000000000000002E-3</v>
      </c>
      <c r="V34" s="3">
        <v>17973.423999999999</v>
      </c>
      <c r="W34" s="3">
        <v>16369.0893</v>
      </c>
      <c r="X34" s="3">
        <v>1604.3347000000001</v>
      </c>
      <c r="Y34" s="3">
        <v>0</v>
      </c>
      <c r="Z34" s="3">
        <v>1604.3347000000001</v>
      </c>
      <c r="AA34">
        <v>30</v>
      </c>
      <c r="AB34" t="b">
        <f t="shared" si="1"/>
        <v>1</v>
      </c>
      <c r="AC34" s="3">
        <v>1800000</v>
      </c>
      <c r="AD34" t="s">
        <v>46</v>
      </c>
      <c r="AE34" s="8">
        <v>46155.560022106481</v>
      </c>
      <c r="AF34" s="6">
        <f t="shared" si="23"/>
        <v>3.4602791736666667</v>
      </c>
      <c r="AG34" s="6" t="b">
        <f>+Tabla9[[#This Row],[CUMPLIMIENTO]]&lt;100%</f>
        <v>0</v>
      </c>
      <c r="AH34" s="12">
        <f>((( (Tabla9[[#This Row],[FTP_CIERRE_MES]]/100)+1)^(30/360) -1)*(36000/30))/36000</f>
        <v>9.2680593701059222E-5</v>
      </c>
      <c r="AI34" s="3">
        <f>Tabla9[[#This Row],[FTP_DIARIO]]*Tabla9[[#This Row],[SALDO_PROM_CORREGIDO]]*Tabla9[[#This Row],[DIAS]]</f>
        <v>17317.839322089214</v>
      </c>
      <c r="AJ34" s="3">
        <f>Tabla9[[#This Row],[REAL_FTP_MONTO]]-Tabla9[[#This Row],[INT_REAL]]</f>
        <v>948.75002208921433</v>
      </c>
      <c r="AK34" s="3">
        <f>Tabla9[[#This Row],[FTP_DIARIO]]*Tabla9[[#This Row],[COMPROMISO]]*Tabla9[[#This Row],[DIAS]]</f>
        <v>5004.7520598571982</v>
      </c>
      <c r="AL34" s="13">
        <f>((( (Tabla9[[#This Row],[TASA_INT]])+1)^(30/360) -1)*(36000/30))/36000</f>
        <v>8.7611231959483507E-5</v>
      </c>
      <c r="AM34" s="3">
        <f>Tabla9[[#This Row],[TEA DIARIA]]*Tabla9[[#This Row],[SALDO_PROM_CORREGIDO]]*Tabla9[[#This Row],[DIAS]]</f>
        <v>16370.603351748734</v>
      </c>
      <c r="AN34" s="3">
        <f>Tabla9[[#This Row],[TEA DIARIA]]*Tabla9[[#This Row],[COMPROMISO]]*Tabla9[[#This Row],[DIAS]]</f>
        <v>4731.0065258121094</v>
      </c>
      <c r="AO34" s="14">
        <f>+Tabla9[[#This Row],[PROYECTADO_FTP_MONTO]]-Tabla9[[#This Row],[PROYECCION_INTERES]]</f>
        <v>273.74553404508879</v>
      </c>
      <c r="AP34" s="3">
        <f>Tabla9[[#This Row],[PROYECCION_MARGEN(FTP - Int compromiso)]]-Tabla9[[#This Row],[REAL_MARGEN(FTP - Int)]]</f>
        <v>-675.00448804412554</v>
      </c>
    </row>
    <row r="35" spans="1:42" x14ac:dyDescent="0.35">
      <c r="A35">
        <v>202604</v>
      </c>
      <c r="B35" s="7">
        <v>46142</v>
      </c>
      <c r="C35">
        <v>2073245</v>
      </c>
      <c r="D35" t="s">
        <v>42</v>
      </c>
      <c r="E35" t="s">
        <v>48</v>
      </c>
      <c r="F35" t="s">
        <v>84</v>
      </c>
      <c r="G35" t="s">
        <v>48</v>
      </c>
      <c r="H35" t="s">
        <v>497</v>
      </c>
      <c r="I35" t="s">
        <v>243</v>
      </c>
      <c r="J35" t="str">
        <f t="shared" ref="J35:J36" si="24">IF(I35="SOLES","4.4963","3.388")</f>
        <v>4.4963</v>
      </c>
      <c r="K35" t="s">
        <v>32</v>
      </c>
      <c r="L35" t="s">
        <v>33</v>
      </c>
      <c r="M35" t="s">
        <v>31</v>
      </c>
      <c r="N35" t="s">
        <v>278</v>
      </c>
      <c r="O35" t="s">
        <v>44</v>
      </c>
      <c r="P35" s="3">
        <v>3055355.801</v>
      </c>
      <c r="Q35" s="3">
        <v>3223805.78</v>
      </c>
      <c r="R35" s="4">
        <v>4.4999999999999998E-2</v>
      </c>
      <c r="S35" s="3">
        <f>+Tabla9[[#This Row],[SAL_PROM_SOL]]</f>
        <v>3055355.801</v>
      </c>
      <c r="T35" s="4">
        <v>4.0500000000000001E-2</v>
      </c>
      <c r="U35" s="4">
        <v>4.4999999999999997E-3</v>
      </c>
      <c r="V35" s="3">
        <v>11218.7986</v>
      </c>
      <c r="W35" s="3">
        <v>10122.179</v>
      </c>
      <c r="X35" s="3">
        <v>1096.6196</v>
      </c>
      <c r="Y35" s="3">
        <v>43.9499</v>
      </c>
      <c r="Z35" s="3">
        <v>1052.6696999999999</v>
      </c>
      <c r="AA35">
        <v>30</v>
      </c>
      <c r="AB35" t="b">
        <f t="shared" si="1"/>
        <v>1</v>
      </c>
      <c r="AC35" s="3">
        <v>3000000</v>
      </c>
      <c r="AD35" t="s">
        <v>46</v>
      </c>
      <c r="AE35" s="8">
        <v>46155.560022106481</v>
      </c>
      <c r="AF35" s="6">
        <f t="shared" si="23"/>
        <v>1.0184519336666666</v>
      </c>
      <c r="AG35" s="6" t="b">
        <f>+Tabla9[[#This Row],[CUMPLIMIENTO]]&lt;100%</f>
        <v>0</v>
      </c>
      <c r="AH35" s="12">
        <f>((( (Tabla9[[#This Row],[FTP_CIERRE_MES]]/100)+1)^(30/360) -1)*(36000/30))/36000</f>
        <v>1.2239493171416853E-4</v>
      </c>
      <c r="AI35" s="3">
        <f>Tabla9[[#This Row],[FTP_DIARIO]]*Tabla9[[#This Row],[SALDO_PROM_CORREGIDO]]*Tabla9[[#This Row],[DIAS]]</f>
        <v>11218.801938776509</v>
      </c>
      <c r="AJ35" s="3">
        <f>Tabla9[[#This Row],[REAL_FTP_MONTO]]-Tabla9[[#This Row],[INT_REAL]]</f>
        <v>1096.6229387765088</v>
      </c>
      <c r="AK35" s="3">
        <f>Tabla9[[#This Row],[FTP_DIARIO]]*Tabla9[[#This Row],[COMPROMISO]]*Tabla9[[#This Row],[DIAS]]</f>
        <v>11015.543854275167</v>
      </c>
      <c r="AL35" s="13">
        <f>((( (Tabla9[[#This Row],[TASA_INT]])+1)^(30/360) -1)*(36000/30))/36000</f>
        <v>1.1046420632666217E-4</v>
      </c>
      <c r="AM35" s="3">
        <f>Tabla9[[#This Row],[TEA DIARIA]]*Tabla9[[#This Row],[SALDO_PROM_CORREGIDO]]*Tabla9[[#This Row],[DIAS]]</f>
        <v>10125.223608090844</v>
      </c>
      <c r="AN35" s="3">
        <f>Tabla9[[#This Row],[TEA DIARIA]]*Tabla9[[#This Row],[COMPROMISO]]*Tabla9[[#This Row],[DIAS]]</f>
        <v>9941.7785693995938</v>
      </c>
      <c r="AO35" s="14">
        <f>+Tabla9[[#This Row],[PROYECTADO_FTP_MONTO]]-Tabla9[[#This Row],[PROYECCION_INTERES]]</f>
        <v>1073.7652848755733</v>
      </c>
      <c r="AP35" s="3">
        <f>Tabla9[[#This Row],[PROYECCION_MARGEN(FTP - Int compromiso)]]-Tabla9[[#This Row],[REAL_MARGEN(FTP - Int)]]</f>
        <v>-22.857653900935475</v>
      </c>
    </row>
    <row r="36" spans="1:42" x14ac:dyDescent="0.35">
      <c r="A36">
        <v>202604</v>
      </c>
      <c r="B36" s="7">
        <v>46142</v>
      </c>
      <c r="C36">
        <v>2196400</v>
      </c>
      <c r="D36" t="s">
        <v>42</v>
      </c>
      <c r="E36" t="s">
        <v>48</v>
      </c>
      <c r="F36" t="s">
        <v>85</v>
      </c>
      <c r="G36" t="s">
        <v>48</v>
      </c>
      <c r="H36" t="s">
        <v>497</v>
      </c>
      <c r="I36" t="s">
        <v>243</v>
      </c>
      <c r="J36" t="str">
        <f t="shared" si="24"/>
        <v>4.4963</v>
      </c>
      <c r="K36" t="s">
        <v>32</v>
      </c>
      <c r="L36" t="s">
        <v>41</v>
      </c>
      <c r="M36" t="s">
        <v>31</v>
      </c>
      <c r="N36" t="s">
        <v>279</v>
      </c>
      <c r="O36" t="s">
        <v>44</v>
      </c>
      <c r="P36" s="3">
        <v>3223572.2905999999</v>
      </c>
      <c r="Q36" s="3">
        <v>3123680.16</v>
      </c>
      <c r="R36" s="4">
        <v>4.4999999999999998E-2</v>
      </c>
      <c r="S36" s="3">
        <f>+Tabla9[[#This Row],[SAL_PROM_SOL]]</f>
        <v>3223572.2905999999</v>
      </c>
      <c r="T36" s="4">
        <v>2.4E-2</v>
      </c>
      <c r="U36" s="4">
        <v>2.1000000000000001E-2</v>
      </c>
      <c r="V36" s="3">
        <v>11836.469300000001</v>
      </c>
      <c r="W36" s="3">
        <v>6381.6796999999997</v>
      </c>
      <c r="X36" s="3">
        <v>5454.7896000000001</v>
      </c>
      <c r="Y36" s="3">
        <v>43.9499</v>
      </c>
      <c r="Z36" s="3">
        <v>5410.8397000000004</v>
      </c>
      <c r="AA36">
        <v>30</v>
      </c>
      <c r="AB36" t="b">
        <f t="shared" si="1"/>
        <v>1</v>
      </c>
      <c r="AC36" s="3">
        <v>3000000</v>
      </c>
      <c r="AD36" t="s">
        <v>46</v>
      </c>
      <c r="AE36" s="8">
        <v>46155.560022106481</v>
      </c>
      <c r="AF36" s="6">
        <f t="shared" ref="AF36" si="25">S36/AC36</f>
        <v>1.0745240968666667</v>
      </c>
      <c r="AG36" s="6" t="b">
        <f>+Tabla9[[#This Row],[CUMPLIMIENTO]]&lt;100%</f>
        <v>0</v>
      </c>
      <c r="AH36" s="12">
        <f>((( (Tabla9[[#This Row],[FTP_CIERRE_MES]]/100)+1)^(30/360) -1)*(36000/30))/36000</f>
        <v>1.2239493171416853E-4</v>
      </c>
      <c r="AI36" s="3">
        <f>Tabla9[[#This Row],[FTP_DIARIO]]*Tabla9[[#This Row],[SALDO_PROM_CORREGIDO]]*Tabla9[[#This Row],[DIAS]]</f>
        <v>11836.467311510185</v>
      </c>
      <c r="AJ36" s="3">
        <f>Tabla9[[#This Row],[REAL_FTP_MONTO]]-Tabla9[[#This Row],[INT_REAL]]</f>
        <v>5454.7876115101853</v>
      </c>
      <c r="AK36" s="3">
        <f>Tabla9[[#This Row],[FTP_DIARIO]]*Tabla9[[#This Row],[COMPROMISO]]*Tabla9[[#This Row],[DIAS]]</f>
        <v>11015.543854275167</v>
      </c>
      <c r="AL36" s="13">
        <f>((( (Tabla9[[#This Row],[TASA_INT]])+1)^(30/360) -1)*(36000/30))/36000</f>
        <v>6.59443846281101E-5</v>
      </c>
      <c r="AM36" s="3">
        <f>Tabla9[[#This Row],[TEA DIARIA]]*Tabla9[[#This Row],[SALDO_PROM_CORREGIDO]]*Tabla9[[#This Row],[DIAS]]</f>
        <v>6377.2947302353296</v>
      </c>
      <c r="AN36" s="3">
        <f>Tabla9[[#This Row],[TEA DIARIA]]*Tabla9[[#This Row],[COMPROMISO]]*Tabla9[[#This Row],[DIAS]]</f>
        <v>5934.9946165299089</v>
      </c>
      <c r="AO36" s="14">
        <f>+Tabla9[[#This Row],[PROYECTADO_FTP_MONTO]]-Tabla9[[#This Row],[PROYECCION_INTERES]]</f>
        <v>5080.5492377452583</v>
      </c>
      <c r="AP36" s="3">
        <f>Tabla9[[#This Row],[PROYECCION_MARGEN(FTP - Int compromiso)]]-Tabla9[[#This Row],[REAL_MARGEN(FTP - Int)]]</f>
        <v>-374.23837376492702</v>
      </c>
    </row>
    <row r="37" spans="1:42" x14ac:dyDescent="0.35">
      <c r="A37">
        <v>202604</v>
      </c>
      <c r="B37" s="7">
        <v>46142</v>
      </c>
      <c r="C37">
        <v>2587558</v>
      </c>
      <c r="D37" t="s">
        <v>36</v>
      </c>
      <c r="E37" t="s">
        <v>38</v>
      </c>
      <c r="F37" t="s">
        <v>49</v>
      </c>
      <c r="G37" t="s">
        <v>38</v>
      </c>
      <c r="H37" t="s">
        <v>492</v>
      </c>
      <c r="I37" t="s">
        <v>243</v>
      </c>
      <c r="J37" t="str">
        <f t="shared" ref="J37" si="26">IF(I37="SOLES","4.4963","3.388")</f>
        <v>4.4963</v>
      </c>
      <c r="K37" t="s">
        <v>32</v>
      </c>
      <c r="L37" t="s">
        <v>33</v>
      </c>
      <c r="M37" t="s">
        <v>31</v>
      </c>
      <c r="N37" t="s">
        <v>280</v>
      </c>
      <c r="O37" t="s">
        <v>44</v>
      </c>
      <c r="P37" s="3">
        <v>34536196.949000001</v>
      </c>
      <c r="Q37" s="3">
        <v>31903166.539999999</v>
      </c>
      <c r="R37" s="4">
        <v>4.4999999999999998E-2</v>
      </c>
      <c r="S37" s="3">
        <f>+Tabla9[[#This Row],[SAL_PROM_SOL]]</f>
        <v>34536196.949000001</v>
      </c>
      <c r="T37" s="4">
        <v>4.1500000000000002E-2</v>
      </c>
      <c r="U37" s="4">
        <v>3.5000000000000001E-3</v>
      </c>
      <c r="V37" s="3">
        <v>126811.6602</v>
      </c>
      <c r="W37" s="3">
        <v>117344.8115</v>
      </c>
      <c r="X37" s="3">
        <v>9466.8487000000005</v>
      </c>
      <c r="Y37" s="3">
        <v>43.9499</v>
      </c>
      <c r="Z37" s="3">
        <v>9422.8988000000008</v>
      </c>
      <c r="AA37">
        <v>30</v>
      </c>
      <c r="AB37" t="b">
        <f t="shared" si="1"/>
        <v>1</v>
      </c>
      <c r="AC37" s="3">
        <v>25000000</v>
      </c>
      <c r="AD37" t="s">
        <v>46</v>
      </c>
      <c r="AE37" s="8">
        <v>46155.560022106481</v>
      </c>
      <c r="AF37" s="6">
        <f t="shared" ref="AF37" si="27">S37/AC37</f>
        <v>1.3814478779600001</v>
      </c>
      <c r="AG37" s="6" t="b">
        <f>+Tabla9[[#This Row],[CUMPLIMIENTO]]&lt;100%</f>
        <v>0</v>
      </c>
      <c r="AH37" s="12">
        <f>((( (Tabla9[[#This Row],[FTP_CIERRE_MES]]/100)+1)^(30/360) -1)*(36000/30))/36000</f>
        <v>1.2239493171416853E-4</v>
      </c>
      <c r="AI37" s="3">
        <f>Tabla9[[#This Row],[FTP_DIARIO]]*Tabla9[[#This Row],[SALDO_PROM_CORREGIDO]]*Tabla9[[#This Row],[DIAS]]</f>
        <v>126811.66401719791</v>
      </c>
      <c r="AJ37" s="3">
        <f>Tabla9[[#This Row],[REAL_FTP_MONTO]]-Tabla9[[#This Row],[INT_REAL]]</f>
        <v>9466.8525171979127</v>
      </c>
      <c r="AK37" s="3">
        <f>Tabla9[[#This Row],[FTP_DIARIO]]*Tabla9[[#This Row],[COMPROMISO]]*Tabla9[[#This Row],[DIAS]]</f>
        <v>91796.198785626388</v>
      </c>
      <c r="AL37" s="13">
        <f>((( (Tabla9[[#This Row],[TASA_INT]])+1)^(30/360) -1)*(36000/30))/36000</f>
        <v>1.1314153091487681E-4</v>
      </c>
      <c r="AM37" s="3">
        <f>Tabla9[[#This Row],[TEA DIARIA]]*Tabla9[[#This Row],[SALDO_PROM_CORREGIDO]]*Tabla9[[#This Row],[DIAS]]</f>
        <v>117224.34584362672</v>
      </c>
      <c r="AN37" s="3">
        <f>Tabla9[[#This Row],[TEA DIARIA]]*Tabla9[[#This Row],[COMPROMISO]]*Tabla9[[#This Row],[DIAS]]</f>
        <v>84856.148186157603</v>
      </c>
      <c r="AO37" s="14">
        <f>+Tabla9[[#This Row],[PROYECTADO_FTP_MONTO]]-Tabla9[[#This Row],[PROYECCION_INTERES]]</f>
        <v>6940.0505994687846</v>
      </c>
      <c r="AP37" s="3">
        <f>Tabla9[[#This Row],[PROYECCION_MARGEN(FTP - Int compromiso)]]-Tabla9[[#This Row],[REAL_MARGEN(FTP - Int)]]</f>
        <v>-2526.801917729128</v>
      </c>
    </row>
    <row r="38" spans="1:42" x14ac:dyDescent="0.35">
      <c r="A38">
        <v>202604</v>
      </c>
      <c r="B38" s="7">
        <v>46142</v>
      </c>
      <c r="C38">
        <v>3453362</v>
      </c>
      <c r="D38" t="s">
        <v>42</v>
      </c>
      <c r="E38" t="s">
        <v>48</v>
      </c>
      <c r="F38" t="s">
        <v>86</v>
      </c>
      <c r="G38" t="s">
        <v>48</v>
      </c>
      <c r="H38" t="s">
        <v>497</v>
      </c>
      <c r="I38" t="s">
        <v>244</v>
      </c>
      <c r="J38" t="str">
        <f t="shared" ref="J38:J46" si="28">IF(I38="SOLES","4.4963","3.388")</f>
        <v>3.388</v>
      </c>
      <c r="K38" t="s">
        <v>32</v>
      </c>
      <c r="L38" t="s">
        <v>41</v>
      </c>
      <c r="M38" t="s">
        <v>34</v>
      </c>
      <c r="N38" t="s">
        <v>281</v>
      </c>
      <c r="O38" t="s">
        <v>44</v>
      </c>
      <c r="P38" s="3">
        <v>2091944.9713999999</v>
      </c>
      <c r="Q38" s="3">
        <v>2139452.6475</v>
      </c>
      <c r="R38" s="4">
        <v>3.5200000000000002E-2</v>
      </c>
      <c r="T38" s="4">
        <v>1.4999999999999999E-2</v>
      </c>
      <c r="U38" s="4">
        <v>2.0199999999999999E-2</v>
      </c>
      <c r="V38" s="3">
        <v>6036.6808000000001</v>
      </c>
      <c r="W38" s="3">
        <v>2596.8139000000001</v>
      </c>
      <c r="X38" s="3">
        <v>3439.8669</v>
      </c>
      <c r="Y38" s="3">
        <v>0</v>
      </c>
      <c r="Z38" s="3">
        <v>3439.8669</v>
      </c>
      <c r="AA38">
        <v>30</v>
      </c>
      <c r="AB38" t="b">
        <f t="shared" ref="AB38:AB46" si="29">+AA38=30</f>
        <v>1</v>
      </c>
      <c r="AD38" t="s">
        <v>46</v>
      </c>
      <c r="AE38" s="8">
        <v>46155.560022106481</v>
      </c>
      <c r="AF38" s="6" t="e">
        <f t="shared" ref="AF38:AF46" si="30">S38/AC38</f>
        <v>#DIV/0!</v>
      </c>
      <c r="AG38" s="6" t="e">
        <f>+Tabla9[[#This Row],[CUMPLIMIENTO]]&lt;100%</f>
        <v>#DIV/0!</v>
      </c>
      <c r="AH38" s="12">
        <f>((( (Tabla9[[#This Row],[FTP_CIERRE_MES]]/100)+1)^(30/360) -1)*(36000/30))/36000</f>
        <v>9.2680593701059222E-5</v>
      </c>
      <c r="AI38" s="3">
        <f>Tabla9[[#This Row],[FTP_DIARIO]]*Tabla9[[#This Row],[SALDO_PROM_CORREGIDO]]*Tabla9[[#This Row],[DIAS]]</f>
        <v>0</v>
      </c>
      <c r="AJ38" s="3">
        <f>Tabla9[[#This Row],[REAL_FTP_MONTO]]-Tabla9[[#This Row],[INT_REAL]]</f>
        <v>-2596.8139000000001</v>
      </c>
      <c r="AK38" s="3">
        <f>Tabla9[[#This Row],[FTP_DIARIO]]*Tabla9[[#This Row],[COMPROMISO]]*Tabla9[[#This Row],[DIAS]]</f>
        <v>0</v>
      </c>
      <c r="AL38" s="13">
        <f>((( (Tabla9[[#This Row],[TASA_INT]])+1)^(30/360) -1)*(36000/30))/36000</f>
        <v>4.1382923881642479E-5</v>
      </c>
      <c r="AM38" s="3">
        <f>Tabla9[[#This Row],[TEA DIARIA]]*Tabla9[[#This Row],[SALDO_PROM_CORREGIDO]]*Tabla9[[#This Row],[DIAS]]</f>
        <v>0</v>
      </c>
      <c r="AN38" s="3">
        <f>Tabla9[[#This Row],[TEA DIARIA]]*Tabla9[[#This Row],[COMPROMISO]]*Tabla9[[#This Row],[DIAS]]</f>
        <v>0</v>
      </c>
      <c r="AO38" s="14">
        <f>+Tabla9[[#This Row],[PROYECTADO_FTP_MONTO]]-Tabla9[[#This Row],[PROYECCION_INTERES]]</f>
        <v>0</v>
      </c>
      <c r="AP38" s="3">
        <f>Tabla9[[#This Row],[PROYECCION_MARGEN(FTP - Int compromiso)]]-Tabla9[[#This Row],[REAL_MARGEN(FTP - Int)]]</f>
        <v>2596.8139000000001</v>
      </c>
    </row>
    <row r="39" spans="1:42" x14ac:dyDescent="0.35">
      <c r="A39">
        <v>202604</v>
      </c>
      <c r="B39" s="7">
        <v>46142</v>
      </c>
      <c r="C39">
        <v>3453362</v>
      </c>
      <c r="D39" t="s">
        <v>42</v>
      </c>
      <c r="E39" t="s">
        <v>48</v>
      </c>
      <c r="F39" t="s">
        <v>86</v>
      </c>
      <c r="G39" t="s">
        <v>48</v>
      </c>
      <c r="H39" t="s">
        <v>497</v>
      </c>
      <c r="I39" t="s">
        <v>244</v>
      </c>
      <c r="J39" t="str">
        <f t="shared" si="28"/>
        <v>3.388</v>
      </c>
      <c r="K39" t="s">
        <v>32</v>
      </c>
      <c r="L39" t="s">
        <v>33</v>
      </c>
      <c r="M39" t="s">
        <v>34</v>
      </c>
      <c r="N39" t="s">
        <v>282</v>
      </c>
      <c r="O39" t="s">
        <v>44</v>
      </c>
      <c r="P39" s="3">
        <v>3256512.2118000002</v>
      </c>
      <c r="Q39" s="3">
        <v>3330443.3728</v>
      </c>
      <c r="R39" s="4">
        <v>3.39E-2</v>
      </c>
      <c r="T39" s="4">
        <v>1.4999999999999999E-2</v>
      </c>
      <c r="U39" s="4">
        <v>1.89E-2</v>
      </c>
      <c r="V39" s="3">
        <v>9054.4703000000009</v>
      </c>
      <c r="W39" s="3">
        <v>4042.7705999999998</v>
      </c>
      <c r="X39" s="3">
        <v>5011.6997000000001</v>
      </c>
      <c r="Y39" s="3">
        <v>0</v>
      </c>
      <c r="Z39" s="3">
        <v>5011.6997000000001</v>
      </c>
      <c r="AA39">
        <v>30</v>
      </c>
      <c r="AB39" t="b">
        <f t="shared" si="29"/>
        <v>1</v>
      </c>
      <c r="AD39" t="s">
        <v>46</v>
      </c>
      <c r="AE39" s="8">
        <v>46155.560022106481</v>
      </c>
      <c r="AF39" s="6" t="e">
        <f t="shared" si="30"/>
        <v>#DIV/0!</v>
      </c>
      <c r="AG39" s="6" t="e">
        <f>+Tabla9[[#This Row],[CUMPLIMIENTO]]&lt;100%</f>
        <v>#DIV/0!</v>
      </c>
      <c r="AH39" s="12">
        <f>((( (Tabla9[[#This Row],[FTP_CIERRE_MES]]/100)+1)^(30/360) -1)*(36000/30))/36000</f>
        <v>9.2680593701059222E-5</v>
      </c>
      <c r="AI39" s="3">
        <f>Tabla9[[#This Row],[FTP_DIARIO]]*Tabla9[[#This Row],[SALDO_PROM_CORREGIDO]]*Tabla9[[#This Row],[DIAS]]</f>
        <v>0</v>
      </c>
      <c r="AJ39" s="3">
        <f>Tabla9[[#This Row],[REAL_FTP_MONTO]]-Tabla9[[#This Row],[INT_REAL]]</f>
        <v>-4042.7705999999998</v>
      </c>
      <c r="AK39" s="3">
        <f>Tabla9[[#This Row],[FTP_DIARIO]]*Tabla9[[#This Row],[COMPROMISO]]*Tabla9[[#This Row],[DIAS]]</f>
        <v>0</v>
      </c>
      <c r="AL39" s="13">
        <f>((( (Tabla9[[#This Row],[TASA_INT]])+1)^(30/360) -1)*(36000/30))/36000</f>
        <v>4.1382923881642479E-5</v>
      </c>
      <c r="AM39" s="3">
        <f>Tabla9[[#This Row],[TEA DIARIA]]*Tabla9[[#This Row],[SALDO_PROM_CORREGIDO]]*Tabla9[[#This Row],[DIAS]]</f>
        <v>0</v>
      </c>
      <c r="AN39" s="3">
        <f>Tabla9[[#This Row],[TEA DIARIA]]*Tabla9[[#This Row],[COMPROMISO]]*Tabla9[[#This Row],[DIAS]]</f>
        <v>0</v>
      </c>
      <c r="AO39" s="14">
        <f>+Tabla9[[#This Row],[PROYECTADO_FTP_MONTO]]-Tabla9[[#This Row],[PROYECCION_INTERES]]</f>
        <v>0</v>
      </c>
      <c r="AP39" s="3">
        <f>Tabla9[[#This Row],[PROYECCION_MARGEN(FTP - Int compromiso)]]-Tabla9[[#This Row],[REAL_MARGEN(FTP - Int)]]</f>
        <v>4042.7705999999998</v>
      </c>
    </row>
    <row r="40" spans="1:42" x14ac:dyDescent="0.35">
      <c r="A40">
        <v>202604</v>
      </c>
      <c r="B40" s="7">
        <v>46142</v>
      </c>
      <c r="C40">
        <v>3453362</v>
      </c>
      <c r="D40" t="s">
        <v>42</v>
      </c>
      <c r="E40" t="s">
        <v>48</v>
      </c>
      <c r="F40" t="s">
        <v>86</v>
      </c>
      <c r="G40" t="s">
        <v>48</v>
      </c>
      <c r="H40" t="s">
        <v>497</v>
      </c>
      <c r="I40" t="s">
        <v>244</v>
      </c>
      <c r="J40" t="str">
        <f t="shared" si="28"/>
        <v>3.388</v>
      </c>
      <c r="K40" t="s">
        <v>32</v>
      </c>
      <c r="L40" t="s">
        <v>41</v>
      </c>
      <c r="M40" t="s">
        <v>34</v>
      </c>
      <c r="N40" t="s">
        <v>283</v>
      </c>
      <c r="O40" t="s">
        <v>44</v>
      </c>
      <c r="P40" s="3">
        <v>18198417.858199999</v>
      </c>
      <c r="Q40" s="3">
        <v>18930238.502300002</v>
      </c>
      <c r="R40" s="4">
        <v>3.5200000000000002E-2</v>
      </c>
      <c r="S40" s="10">
        <f>SUM(P38:P40)</f>
        <v>23546875.0414</v>
      </c>
      <c r="T40" s="4">
        <v>1.4999999999999999E-2</v>
      </c>
      <c r="U40" s="4">
        <v>2.0199999999999999E-2</v>
      </c>
      <c r="V40" s="3">
        <v>52514.701800000003</v>
      </c>
      <c r="W40" s="3">
        <v>22593.5857</v>
      </c>
      <c r="X40" s="3">
        <v>29921.116099999999</v>
      </c>
      <c r="Y40" s="3">
        <v>0</v>
      </c>
      <c r="Z40" s="3">
        <v>29921.116099999999</v>
      </c>
      <c r="AA40">
        <v>30</v>
      </c>
      <c r="AB40" t="b">
        <f t="shared" si="29"/>
        <v>1</v>
      </c>
      <c r="AC40" s="3">
        <v>6000000</v>
      </c>
      <c r="AD40" t="s">
        <v>46</v>
      </c>
      <c r="AE40" s="8">
        <v>46155.560022106481</v>
      </c>
      <c r="AF40" s="6">
        <f t="shared" si="30"/>
        <v>3.9244791735666666</v>
      </c>
      <c r="AG40" s="6" t="b">
        <f>+Tabla9[[#This Row],[CUMPLIMIENTO]]&lt;100%</f>
        <v>0</v>
      </c>
      <c r="AH40" s="12">
        <f>((( (Tabla9[[#This Row],[FTP_CIERRE_MES]]/100)+1)^(30/360) -1)*(36000/30))/36000</f>
        <v>9.2680593701059222E-5</v>
      </c>
      <c r="AI40" s="3">
        <f>Tabla9[[#This Row],[FTP_DIARIO]]*Tabla9[[#This Row],[SALDO_PROM_CORREGIDO]]*Tabla9[[#This Row],[DIAS]]</f>
        <v>65470.150759248158</v>
      </c>
      <c r="AJ40" s="3">
        <f>Tabla9[[#This Row],[REAL_FTP_MONTO]]-Tabla9[[#This Row],[INT_REAL]]</f>
        <v>42876.565059248154</v>
      </c>
      <c r="AK40" s="3">
        <f>Tabla9[[#This Row],[FTP_DIARIO]]*Tabla9[[#This Row],[COMPROMISO]]*Tabla9[[#This Row],[DIAS]]</f>
        <v>16682.506866190659</v>
      </c>
      <c r="AL40" s="13">
        <f>((( (Tabla9[[#This Row],[TASA_INT]])+1)^(30/360) -1)*(36000/30))/36000</f>
        <v>4.1382923881642479E-5</v>
      </c>
      <c r="AM40" s="3">
        <f>Tabla9[[#This Row],[TEA DIARIA]]*Tabla9[[#This Row],[SALDO_PROM_CORREGIDO]]*Tabla9[[#This Row],[DIAS]]</f>
        <v>29233.156124664099</v>
      </c>
      <c r="AN40" s="3">
        <f>Tabla9[[#This Row],[TEA DIARIA]]*Tabla9[[#This Row],[COMPROMISO]]*Tabla9[[#This Row],[DIAS]]</f>
        <v>7448.9262986956464</v>
      </c>
      <c r="AO40" s="14">
        <f>+Tabla9[[#This Row],[PROYECTADO_FTP_MONTO]]-Tabla9[[#This Row],[PROYECCION_INTERES]]</f>
        <v>9233.5805674950134</v>
      </c>
      <c r="AP40" s="3">
        <f>Tabla9[[#This Row],[PROYECCION_MARGEN(FTP - Int compromiso)]]-Tabla9[[#This Row],[REAL_MARGEN(FTP - Int)]]</f>
        <v>-33642.984491753145</v>
      </c>
    </row>
    <row r="41" spans="1:42" x14ac:dyDescent="0.35">
      <c r="A41">
        <v>202604</v>
      </c>
      <c r="B41" s="7">
        <v>46142</v>
      </c>
      <c r="C41">
        <v>3453362</v>
      </c>
      <c r="D41" t="s">
        <v>42</v>
      </c>
      <c r="E41" t="s">
        <v>48</v>
      </c>
      <c r="F41" t="s">
        <v>86</v>
      </c>
      <c r="G41" t="s">
        <v>48</v>
      </c>
      <c r="H41" t="s">
        <v>497</v>
      </c>
      <c r="I41" t="s">
        <v>243</v>
      </c>
      <c r="J41" t="str">
        <f t="shared" si="28"/>
        <v>4.4963</v>
      </c>
      <c r="K41" t="s">
        <v>32</v>
      </c>
      <c r="L41" t="s">
        <v>33</v>
      </c>
      <c r="M41" t="s">
        <v>31</v>
      </c>
      <c r="N41" t="s">
        <v>255</v>
      </c>
      <c r="O41" t="s">
        <v>44</v>
      </c>
      <c r="P41" s="3">
        <v>16741.370599999998</v>
      </c>
      <c r="Q41" s="3">
        <v>13464.44</v>
      </c>
      <c r="R41" s="4">
        <v>4.4999999999999998E-2</v>
      </c>
      <c r="T41" s="4">
        <v>0.02</v>
      </c>
      <c r="U41" s="4">
        <v>2.5000000000000001E-2</v>
      </c>
      <c r="V41" s="3">
        <v>61.471299999999999</v>
      </c>
      <c r="W41" s="3">
        <v>27.650700000000001</v>
      </c>
      <c r="X41" s="3">
        <v>33.820599999999999</v>
      </c>
      <c r="Y41" s="3">
        <v>0</v>
      </c>
      <c r="Z41" s="3">
        <v>33.820599999999999</v>
      </c>
      <c r="AA41">
        <v>30</v>
      </c>
      <c r="AB41" t="b">
        <f t="shared" si="29"/>
        <v>1</v>
      </c>
      <c r="AD41" t="s">
        <v>46</v>
      </c>
      <c r="AE41" s="8">
        <v>46155.560022106481</v>
      </c>
      <c r="AF41" s="6" t="e">
        <f t="shared" si="30"/>
        <v>#DIV/0!</v>
      </c>
      <c r="AG41" s="6" t="e">
        <f>+Tabla9[[#This Row],[CUMPLIMIENTO]]&lt;100%</f>
        <v>#DIV/0!</v>
      </c>
      <c r="AH41" s="12">
        <f>((( (Tabla9[[#This Row],[FTP_CIERRE_MES]]/100)+1)^(30/360) -1)*(36000/30))/36000</f>
        <v>1.2239493171416853E-4</v>
      </c>
      <c r="AI41" s="3">
        <f>Tabla9[[#This Row],[FTP_DIARIO]]*Tabla9[[#This Row],[SALDO_PROM_CORREGIDO]]*Tabla9[[#This Row],[DIAS]]</f>
        <v>0</v>
      </c>
      <c r="AJ41" s="3">
        <f>Tabla9[[#This Row],[REAL_FTP_MONTO]]-Tabla9[[#This Row],[INT_REAL]]</f>
        <v>-27.650700000000001</v>
      </c>
      <c r="AK41" s="3">
        <f>Tabla9[[#This Row],[FTP_DIARIO]]*Tabla9[[#This Row],[COMPROMISO]]*Tabla9[[#This Row],[DIAS]]</f>
        <v>0</v>
      </c>
      <c r="AL41" s="13">
        <f>((( (Tabla9[[#This Row],[TASA_INT]])+1)^(30/360) -1)*(36000/30))/36000</f>
        <v>5.5052710064007471E-5</v>
      </c>
      <c r="AM41" s="3">
        <f>Tabla9[[#This Row],[TEA DIARIA]]*Tabla9[[#This Row],[SALDO_PROM_CORREGIDO]]*Tabla9[[#This Row],[DIAS]]</f>
        <v>0</v>
      </c>
      <c r="AN41" s="3">
        <f>Tabla9[[#This Row],[TEA DIARIA]]*Tabla9[[#This Row],[COMPROMISO]]*Tabla9[[#This Row],[DIAS]]</f>
        <v>0</v>
      </c>
      <c r="AO41" s="14">
        <f>+Tabla9[[#This Row],[PROYECTADO_FTP_MONTO]]-Tabla9[[#This Row],[PROYECCION_INTERES]]</f>
        <v>0</v>
      </c>
      <c r="AP41" s="3">
        <f>Tabla9[[#This Row],[PROYECCION_MARGEN(FTP - Int compromiso)]]-Tabla9[[#This Row],[REAL_MARGEN(FTP - Int)]]</f>
        <v>27.650700000000001</v>
      </c>
    </row>
    <row r="42" spans="1:42" x14ac:dyDescent="0.35">
      <c r="A42">
        <v>202604</v>
      </c>
      <c r="B42" s="7">
        <v>46142</v>
      </c>
      <c r="C42">
        <v>3453362</v>
      </c>
      <c r="D42" t="s">
        <v>42</v>
      </c>
      <c r="E42" t="s">
        <v>48</v>
      </c>
      <c r="F42" t="s">
        <v>86</v>
      </c>
      <c r="G42" t="s">
        <v>48</v>
      </c>
      <c r="H42" t="s">
        <v>497</v>
      </c>
      <c r="I42" t="s">
        <v>243</v>
      </c>
      <c r="J42" t="str">
        <f t="shared" si="28"/>
        <v>4.4963</v>
      </c>
      <c r="K42" t="s">
        <v>32</v>
      </c>
      <c r="L42" t="s">
        <v>33</v>
      </c>
      <c r="M42" t="s">
        <v>31</v>
      </c>
      <c r="N42" t="s">
        <v>284</v>
      </c>
      <c r="O42" t="s">
        <v>44</v>
      </c>
      <c r="P42" s="3">
        <v>43794.450400000002</v>
      </c>
      <c r="Q42" s="3">
        <v>42435.5</v>
      </c>
      <c r="R42" s="4">
        <v>4.4999999999999998E-2</v>
      </c>
      <c r="T42" s="4">
        <v>0.02</v>
      </c>
      <c r="U42" s="4">
        <v>2.5000000000000001E-2</v>
      </c>
      <c r="V42" s="3">
        <v>160.80879999999999</v>
      </c>
      <c r="W42" s="3">
        <v>72.1584</v>
      </c>
      <c r="X42" s="3">
        <v>88.650400000000005</v>
      </c>
      <c r="Y42" s="3">
        <v>0</v>
      </c>
      <c r="Z42" s="3">
        <v>88.650400000000005</v>
      </c>
      <c r="AA42">
        <v>30</v>
      </c>
      <c r="AB42" t="b">
        <f t="shared" si="29"/>
        <v>1</v>
      </c>
      <c r="AD42" t="s">
        <v>46</v>
      </c>
      <c r="AE42" s="8">
        <v>46155.560022106481</v>
      </c>
      <c r="AF42" s="6" t="e">
        <f t="shared" si="30"/>
        <v>#DIV/0!</v>
      </c>
      <c r="AG42" s="6" t="e">
        <f>+Tabla9[[#This Row],[CUMPLIMIENTO]]&lt;100%</f>
        <v>#DIV/0!</v>
      </c>
      <c r="AH42" s="12">
        <f>((( (Tabla9[[#This Row],[FTP_CIERRE_MES]]/100)+1)^(30/360) -1)*(36000/30))/36000</f>
        <v>1.2239493171416853E-4</v>
      </c>
      <c r="AI42" s="3">
        <f>Tabla9[[#This Row],[FTP_DIARIO]]*Tabla9[[#This Row],[SALDO_PROM_CORREGIDO]]*Tabla9[[#This Row],[DIAS]]</f>
        <v>0</v>
      </c>
      <c r="AJ42" s="3">
        <f>Tabla9[[#This Row],[REAL_FTP_MONTO]]-Tabla9[[#This Row],[INT_REAL]]</f>
        <v>-72.1584</v>
      </c>
      <c r="AK42" s="3">
        <f>Tabla9[[#This Row],[FTP_DIARIO]]*Tabla9[[#This Row],[COMPROMISO]]*Tabla9[[#This Row],[DIAS]]</f>
        <v>0</v>
      </c>
      <c r="AL42" s="13">
        <f>((( (Tabla9[[#This Row],[TASA_INT]])+1)^(30/360) -1)*(36000/30))/36000</f>
        <v>5.5052710064007471E-5</v>
      </c>
      <c r="AM42" s="3">
        <f>Tabla9[[#This Row],[TEA DIARIA]]*Tabla9[[#This Row],[SALDO_PROM_CORREGIDO]]*Tabla9[[#This Row],[DIAS]]</f>
        <v>0</v>
      </c>
      <c r="AN42" s="3">
        <f>Tabla9[[#This Row],[TEA DIARIA]]*Tabla9[[#This Row],[COMPROMISO]]*Tabla9[[#This Row],[DIAS]]</f>
        <v>0</v>
      </c>
      <c r="AO42" s="14">
        <f>+Tabla9[[#This Row],[PROYECTADO_FTP_MONTO]]-Tabla9[[#This Row],[PROYECCION_INTERES]]</f>
        <v>0</v>
      </c>
      <c r="AP42" s="3">
        <f>Tabla9[[#This Row],[PROYECCION_MARGEN(FTP - Int compromiso)]]-Tabla9[[#This Row],[REAL_MARGEN(FTP - Int)]]</f>
        <v>72.1584</v>
      </c>
    </row>
    <row r="43" spans="1:42" x14ac:dyDescent="0.35">
      <c r="A43">
        <v>202604</v>
      </c>
      <c r="B43" s="7">
        <v>46142</v>
      </c>
      <c r="C43">
        <v>3453362</v>
      </c>
      <c r="D43" t="s">
        <v>42</v>
      </c>
      <c r="E43" t="s">
        <v>48</v>
      </c>
      <c r="F43" t="s">
        <v>86</v>
      </c>
      <c r="G43" t="s">
        <v>48</v>
      </c>
      <c r="H43" t="s">
        <v>497</v>
      </c>
      <c r="I43" t="s">
        <v>243</v>
      </c>
      <c r="J43" t="str">
        <f t="shared" si="28"/>
        <v>4.4963</v>
      </c>
      <c r="K43" t="s">
        <v>32</v>
      </c>
      <c r="L43" t="s">
        <v>33</v>
      </c>
      <c r="M43" t="s">
        <v>31</v>
      </c>
      <c r="N43" t="s">
        <v>285</v>
      </c>
      <c r="O43" t="s">
        <v>44</v>
      </c>
      <c r="P43" s="3">
        <v>158510.8688</v>
      </c>
      <c r="Q43" s="3">
        <v>156560.6</v>
      </c>
      <c r="R43" s="4">
        <v>4.4999999999999998E-2</v>
      </c>
      <c r="T43" s="4">
        <v>1.9800000000000002E-2</v>
      </c>
      <c r="U43" s="4">
        <v>2.52E-2</v>
      </c>
      <c r="V43" s="3">
        <v>582.02880000000005</v>
      </c>
      <c r="W43" s="3">
        <v>259.6986</v>
      </c>
      <c r="X43" s="3">
        <v>322.33019999999999</v>
      </c>
      <c r="Y43" s="3">
        <v>43.9499</v>
      </c>
      <c r="Z43" s="3">
        <v>278.38029999999998</v>
      </c>
      <c r="AA43">
        <v>30</v>
      </c>
      <c r="AB43" t="b">
        <f t="shared" si="29"/>
        <v>1</v>
      </c>
      <c r="AD43" t="s">
        <v>46</v>
      </c>
      <c r="AE43" s="8">
        <v>46155.560022106481</v>
      </c>
      <c r="AF43" s="6" t="e">
        <f t="shared" si="30"/>
        <v>#DIV/0!</v>
      </c>
      <c r="AG43" s="6" t="e">
        <f>+Tabla9[[#This Row],[CUMPLIMIENTO]]&lt;100%</f>
        <v>#DIV/0!</v>
      </c>
      <c r="AH43" s="12">
        <f>((( (Tabla9[[#This Row],[FTP_CIERRE_MES]]/100)+1)^(30/360) -1)*(36000/30))/36000</f>
        <v>1.2239493171416853E-4</v>
      </c>
      <c r="AI43" s="3">
        <f>Tabla9[[#This Row],[FTP_DIARIO]]*Tabla9[[#This Row],[SALDO_PROM_CORREGIDO]]*Tabla9[[#This Row],[DIAS]]</f>
        <v>0</v>
      </c>
      <c r="AJ43" s="3">
        <f>Tabla9[[#This Row],[REAL_FTP_MONTO]]-Tabla9[[#This Row],[INT_REAL]]</f>
        <v>-259.6986</v>
      </c>
      <c r="AK43" s="3">
        <f>Tabla9[[#This Row],[FTP_DIARIO]]*Tabla9[[#This Row],[COMPROMISO]]*Tabla9[[#This Row],[DIAS]]</f>
        <v>0</v>
      </c>
      <c r="AL43" s="13">
        <f>((( (Tabla9[[#This Row],[TASA_INT]])+1)^(30/360) -1)*(36000/30))/36000</f>
        <v>5.4507099165153802E-5</v>
      </c>
      <c r="AM43" s="3">
        <f>Tabla9[[#This Row],[TEA DIARIA]]*Tabla9[[#This Row],[SALDO_PROM_CORREGIDO]]*Tabla9[[#This Row],[DIAS]]</f>
        <v>0</v>
      </c>
      <c r="AN43" s="3">
        <f>Tabla9[[#This Row],[TEA DIARIA]]*Tabla9[[#This Row],[COMPROMISO]]*Tabla9[[#This Row],[DIAS]]</f>
        <v>0</v>
      </c>
      <c r="AO43" s="14">
        <f>+Tabla9[[#This Row],[PROYECTADO_FTP_MONTO]]-Tabla9[[#This Row],[PROYECCION_INTERES]]</f>
        <v>0</v>
      </c>
      <c r="AP43" s="3">
        <f>Tabla9[[#This Row],[PROYECCION_MARGEN(FTP - Int compromiso)]]-Tabla9[[#This Row],[REAL_MARGEN(FTP - Int)]]</f>
        <v>259.6986</v>
      </c>
    </row>
    <row r="44" spans="1:42" x14ac:dyDescent="0.35">
      <c r="A44">
        <v>202604</v>
      </c>
      <c r="B44" s="7">
        <v>46142</v>
      </c>
      <c r="C44">
        <v>3453362</v>
      </c>
      <c r="D44" t="s">
        <v>42</v>
      </c>
      <c r="E44" t="s">
        <v>48</v>
      </c>
      <c r="F44" t="s">
        <v>86</v>
      </c>
      <c r="G44" t="s">
        <v>48</v>
      </c>
      <c r="H44" t="s">
        <v>497</v>
      </c>
      <c r="I44" t="s">
        <v>243</v>
      </c>
      <c r="J44" t="str">
        <f t="shared" si="28"/>
        <v>4.4963</v>
      </c>
      <c r="K44" t="s">
        <v>32</v>
      </c>
      <c r="L44" t="s">
        <v>41</v>
      </c>
      <c r="M44" t="s">
        <v>31</v>
      </c>
      <c r="N44" t="s">
        <v>286</v>
      </c>
      <c r="O44" t="s">
        <v>44</v>
      </c>
      <c r="P44" s="3">
        <v>443177.75069999998</v>
      </c>
      <c r="Q44" s="3">
        <v>444728.33</v>
      </c>
      <c r="R44" s="4">
        <v>4.4999999999999998E-2</v>
      </c>
      <c r="T44" s="4">
        <v>0.02</v>
      </c>
      <c r="U44" s="4">
        <v>2.5000000000000001E-2</v>
      </c>
      <c r="V44" s="3">
        <v>1627.2789</v>
      </c>
      <c r="W44" s="3">
        <v>731.95079999999996</v>
      </c>
      <c r="X44" s="3">
        <v>895.32809999999995</v>
      </c>
      <c r="Y44" s="3">
        <v>0</v>
      </c>
      <c r="Z44" s="3">
        <v>895.32809999999995</v>
      </c>
      <c r="AA44">
        <v>30</v>
      </c>
      <c r="AB44" t="b">
        <f t="shared" si="29"/>
        <v>1</v>
      </c>
      <c r="AD44" t="s">
        <v>46</v>
      </c>
      <c r="AE44" s="8">
        <v>46155.560022106481</v>
      </c>
      <c r="AF44" s="6" t="e">
        <f t="shared" si="30"/>
        <v>#DIV/0!</v>
      </c>
      <c r="AG44" s="6" t="e">
        <f>+Tabla9[[#This Row],[CUMPLIMIENTO]]&lt;100%</f>
        <v>#DIV/0!</v>
      </c>
      <c r="AH44" s="12">
        <f>((( (Tabla9[[#This Row],[FTP_CIERRE_MES]]/100)+1)^(30/360) -1)*(36000/30))/36000</f>
        <v>1.2239493171416853E-4</v>
      </c>
      <c r="AI44" s="3">
        <f>Tabla9[[#This Row],[FTP_DIARIO]]*Tabla9[[#This Row],[SALDO_PROM_CORREGIDO]]*Tabla9[[#This Row],[DIAS]]</f>
        <v>0</v>
      </c>
      <c r="AJ44" s="3">
        <f>Tabla9[[#This Row],[REAL_FTP_MONTO]]-Tabla9[[#This Row],[INT_REAL]]</f>
        <v>-731.95079999999996</v>
      </c>
      <c r="AK44" s="3">
        <f>Tabla9[[#This Row],[FTP_DIARIO]]*Tabla9[[#This Row],[COMPROMISO]]*Tabla9[[#This Row],[DIAS]]</f>
        <v>0</v>
      </c>
      <c r="AL44" s="13">
        <f>((( (Tabla9[[#This Row],[TASA_INT]])+1)^(30/360) -1)*(36000/30))/36000</f>
        <v>5.5052710064007471E-5</v>
      </c>
      <c r="AM44" s="3">
        <f>Tabla9[[#This Row],[TEA DIARIA]]*Tabla9[[#This Row],[SALDO_PROM_CORREGIDO]]*Tabla9[[#This Row],[DIAS]]</f>
        <v>0</v>
      </c>
      <c r="AN44" s="3">
        <f>Tabla9[[#This Row],[TEA DIARIA]]*Tabla9[[#This Row],[COMPROMISO]]*Tabla9[[#This Row],[DIAS]]</f>
        <v>0</v>
      </c>
      <c r="AO44" s="14">
        <f>+Tabla9[[#This Row],[PROYECTADO_FTP_MONTO]]-Tabla9[[#This Row],[PROYECCION_INTERES]]</f>
        <v>0</v>
      </c>
      <c r="AP44" s="3">
        <f>Tabla9[[#This Row],[PROYECCION_MARGEN(FTP - Int compromiso)]]-Tabla9[[#This Row],[REAL_MARGEN(FTP - Int)]]</f>
        <v>731.95079999999996</v>
      </c>
    </row>
    <row r="45" spans="1:42" x14ac:dyDescent="0.35">
      <c r="A45">
        <v>202604</v>
      </c>
      <c r="B45" s="7">
        <v>46142</v>
      </c>
      <c r="C45">
        <v>3453362</v>
      </c>
      <c r="D45" t="s">
        <v>42</v>
      </c>
      <c r="E45" t="s">
        <v>48</v>
      </c>
      <c r="F45" t="s">
        <v>86</v>
      </c>
      <c r="G45" t="s">
        <v>48</v>
      </c>
      <c r="H45" t="s">
        <v>497</v>
      </c>
      <c r="I45" t="s">
        <v>243</v>
      </c>
      <c r="J45" t="str">
        <f t="shared" si="28"/>
        <v>4.4963</v>
      </c>
      <c r="K45" t="s">
        <v>32</v>
      </c>
      <c r="L45" t="s">
        <v>33</v>
      </c>
      <c r="M45" t="s">
        <v>31</v>
      </c>
      <c r="N45" t="s">
        <v>287</v>
      </c>
      <c r="O45" t="s">
        <v>44</v>
      </c>
      <c r="P45" s="3">
        <v>801899.84080000001</v>
      </c>
      <c r="Q45" s="3">
        <v>521725.65</v>
      </c>
      <c r="R45" s="4">
        <v>4.4999999999999998E-2</v>
      </c>
      <c r="T45" s="4">
        <v>0.02</v>
      </c>
      <c r="U45" s="4">
        <v>2.5000000000000001E-2</v>
      </c>
      <c r="V45" s="3">
        <v>2944.4502000000002</v>
      </c>
      <c r="W45" s="3">
        <v>1324.3293000000001</v>
      </c>
      <c r="X45" s="3">
        <v>1620.1208999999999</v>
      </c>
      <c r="Y45" s="3">
        <v>0</v>
      </c>
      <c r="Z45" s="3">
        <v>1620.1208999999999</v>
      </c>
      <c r="AA45">
        <v>30</v>
      </c>
      <c r="AB45" t="b">
        <f t="shared" si="29"/>
        <v>1</v>
      </c>
      <c r="AD45" t="s">
        <v>46</v>
      </c>
      <c r="AE45" s="8">
        <v>46155.560022106481</v>
      </c>
      <c r="AF45" s="6" t="e">
        <f t="shared" si="30"/>
        <v>#DIV/0!</v>
      </c>
      <c r="AG45" s="6" t="e">
        <f>+Tabla9[[#This Row],[CUMPLIMIENTO]]&lt;100%</f>
        <v>#DIV/0!</v>
      </c>
      <c r="AH45" s="12">
        <f>((( (Tabla9[[#This Row],[FTP_CIERRE_MES]]/100)+1)^(30/360) -1)*(36000/30))/36000</f>
        <v>1.2239493171416853E-4</v>
      </c>
      <c r="AI45" s="3">
        <f>Tabla9[[#This Row],[FTP_DIARIO]]*Tabla9[[#This Row],[SALDO_PROM_CORREGIDO]]*Tabla9[[#This Row],[DIAS]]</f>
        <v>0</v>
      </c>
      <c r="AJ45" s="3">
        <f>Tabla9[[#This Row],[REAL_FTP_MONTO]]-Tabla9[[#This Row],[INT_REAL]]</f>
        <v>-1324.3293000000001</v>
      </c>
      <c r="AK45" s="3">
        <f>Tabla9[[#This Row],[FTP_DIARIO]]*Tabla9[[#This Row],[COMPROMISO]]*Tabla9[[#This Row],[DIAS]]</f>
        <v>0</v>
      </c>
      <c r="AL45" s="13">
        <f>((( (Tabla9[[#This Row],[TASA_INT]])+1)^(30/360) -1)*(36000/30))/36000</f>
        <v>5.5052710064007471E-5</v>
      </c>
      <c r="AM45" s="3">
        <f>Tabla9[[#This Row],[TEA DIARIA]]*Tabla9[[#This Row],[SALDO_PROM_CORREGIDO]]*Tabla9[[#This Row],[DIAS]]</f>
        <v>0</v>
      </c>
      <c r="AN45" s="3">
        <f>Tabla9[[#This Row],[TEA DIARIA]]*Tabla9[[#This Row],[COMPROMISO]]*Tabla9[[#This Row],[DIAS]]</f>
        <v>0</v>
      </c>
      <c r="AO45" s="14">
        <f>+Tabla9[[#This Row],[PROYECTADO_FTP_MONTO]]-Tabla9[[#This Row],[PROYECCION_INTERES]]</f>
        <v>0</v>
      </c>
      <c r="AP45" s="3">
        <f>Tabla9[[#This Row],[PROYECCION_MARGEN(FTP - Int compromiso)]]-Tabla9[[#This Row],[REAL_MARGEN(FTP - Int)]]</f>
        <v>1324.3293000000001</v>
      </c>
    </row>
    <row r="46" spans="1:42" x14ac:dyDescent="0.35">
      <c r="A46">
        <v>202604</v>
      </c>
      <c r="B46" s="7">
        <v>46142</v>
      </c>
      <c r="C46">
        <v>3453362</v>
      </c>
      <c r="D46" t="s">
        <v>42</v>
      </c>
      <c r="E46" t="s">
        <v>48</v>
      </c>
      <c r="F46" t="s">
        <v>86</v>
      </c>
      <c r="G46" t="s">
        <v>48</v>
      </c>
      <c r="H46" t="s">
        <v>497</v>
      </c>
      <c r="I46" t="s">
        <v>243</v>
      </c>
      <c r="J46" t="str">
        <f t="shared" si="28"/>
        <v>4.4963</v>
      </c>
      <c r="K46" t="s">
        <v>32</v>
      </c>
      <c r="L46" t="s">
        <v>41</v>
      </c>
      <c r="M46" t="s">
        <v>31</v>
      </c>
      <c r="N46" t="s">
        <v>288</v>
      </c>
      <c r="O46" t="s">
        <v>44</v>
      </c>
      <c r="P46" s="3">
        <v>5892850.7192000002</v>
      </c>
      <c r="Q46" s="3">
        <v>5927444.2599999998</v>
      </c>
      <c r="R46" s="4">
        <v>4.4999999999999998E-2</v>
      </c>
      <c r="S46" s="10">
        <f>SUM(P41:P46)</f>
        <v>7356975.0005000001</v>
      </c>
      <c r="T46" s="4">
        <v>0.02</v>
      </c>
      <c r="U46" s="4">
        <v>2.5000000000000001E-2</v>
      </c>
      <c r="V46" s="3">
        <v>21637.650600000001</v>
      </c>
      <c r="W46" s="3">
        <v>9731.9907000000003</v>
      </c>
      <c r="X46" s="3">
        <v>11905.659900000001</v>
      </c>
      <c r="Y46" s="3">
        <v>0</v>
      </c>
      <c r="Z46" s="3">
        <v>11905.659900000001</v>
      </c>
      <c r="AA46">
        <v>30</v>
      </c>
      <c r="AB46" t="b">
        <f t="shared" si="29"/>
        <v>1</v>
      </c>
      <c r="AC46" s="3">
        <v>8000000</v>
      </c>
      <c r="AD46" t="s">
        <v>46</v>
      </c>
      <c r="AE46" s="8">
        <v>46155.560022106481</v>
      </c>
      <c r="AF46" s="6">
        <f t="shared" si="30"/>
        <v>0.91962187506250004</v>
      </c>
      <c r="AG46" s="6" t="b">
        <f>+Tabla9[[#This Row],[CUMPLIMIENTO]]&lt;100%</f>
        <v>1</v>
      </c>
      <c r="AH46" s="12">
        <f>((( (Tabla9[[#This Row],[FTP_CIERRE_MES]]/100)+1)^(30/360) -1)*(36000/30))/36000</f>
        <v>1.2239493171416853E-4</v>
      </c>
      <c r="AI46" s="3">
        <f>Tabla9[[#This Row],[FTP_DIARIO]]*Tabla9[[#This Row],[SALDO_PROM_CORREGIDO]]*Tabla9[[#This Row],[DIAS]]</f>
        <v>27013.693584271274</v>
      </c>
      <c r="AJ46" s="3">
        <f>Tabla9[[#This Row],[REAL_FTP_MONTO]]-Tabla9[[#This Row],[INT_REAL]]</f>
        <v>17281.702884271275</v>
      </c>
      <c r="AK46" s="3">
        <f>Tabla9[[#This Row],[FTP_DIARIO]]*Tabla9[[#This Row],[COMPROMISO]]*Tabla9[[#This Row],[DIAS]]</f>
        <v>29374.783611400446</v>
      </c>
      <c r="AL46" s="13">
        <f>((( (Tabla9[[#This Row],[TASA_INT]])+1)^(30/360) -1)*(36000/30))/36000</f>
        <v>5.5052710064007471E-5</v>
      </c>
      <c r="AM46" s="3">
        <f>Tabla9[[#This Row],[TEA DIARIA]]*Tabla9[[#This Row],[SALDO_PROM_CORREGIDO]]*Tabla9[[#This Row],[DIAS]]</f>
        <v>12150.642349520333</v>
      </c>
      <c r="AN46" s="3">
        <f>Tabla9[[#This Row],[TEA DIARIA]]*Tabla9[[#This Row],[COMPROMISO]]*Tabla9[[#This Row],[DIAS]]</f>
        <v>13212.650415361793</v>
      </c>
      <c r="AO46" s="14">
        <f>+Tabla9[[#This Row],[PROYECTADO_FTP_MONTO]]-Tabla9[[#This Row],[PROYECCION_INTERES]]</f>
        <v>16162.133196038652</v>
      </c>
      <c r="AP46" s="3">
        <f>Tabla9[[#This Row],[PROYECCION_MARGEN(FTP - Int compromiso)]]-Tabla9[[#This Row],[REAL_MARGEN(FTP - Int)]]</f>
        <v>-1119.5696882326229</v>
      </c>
    </row>
    <row r="47" spans="1:42" x14ac:dyDescent="0.35">
      <c r="A47">
        <v>202604</v>
      </c>
      <c r="B47" s="7">
        <v>46142</v>
      </c>
      <c r="C47">
        <v>3667334</v>
      </c>
      <c r="D47" t="s">
        <v>36</v>
      </c>
      <c r="E47" t="s">
        <v>37</v>
      </c>
      <c r="F47" t="s">
        <v>87</v>
      </c>
      <c r="G47" t="s">
        <v>37</v>
      </c>
      <c r="H47" t="s">
        <v>499</v>
      </c>
      <c r="I47" t="s">
        <v>244</v>
      </c>
      <c r="J47" t="str">
        <f t="shared" ref="J47:J57" si="31">IF(I47="SOLES","4.4963","3.388")</f>
        <v>3.388</v>
      </c>
      <c r="K47" t="s">
        <v>32</v>
      </c>
      <c r="L47" t="s">
        <v>33</v>
      </c>
      <c r="M47" t="s">
        <v>34</v>
      </c>
      <c r="N47" t="s">
        <v>289</v>
      </c>
      <c r="O47" t="s">
        <v>44</v>
      </c>
      <c r="P47" s="3">
        <v>6916276.9501</v>
      </c>
      <c r="Q47" s="3">
        <v>4642215.5801999997</v>
      </c>
      <c r="R47" s="4">
        <v>3.39E-2</v>
      </c>
      <c r="S47" s="3">
        <f>+Tabla9[[#This Row],[SAL_PROM_SOL]]</f>
        <v>6916276.9501</v>
      </c>
      <c r="T47" s="4">
        <v>1.9E-2</v>
      </c>
      <c r="U47" s="4">
        <v>1.49E-2</v>
      </c>
      <c r="V47" s="3">
        <v>19230.1535</v>
      </c>
      <c r="W47" s="3">
        <v>10855.9856</v>
      </c>
      <c r="X47" s="3">
        <v>8374.1679000000004</v>
      </c>
      <c r="Y47" s="3">
        <v>0</v>
      </c>
      <c r="Z47" s="3">
        <v>8374.1679000000004</v>
      </c>
      <c r="AA47">
        <v>30</v>
      </c>
      <c r="AB47" t="b">
        <f>+AA47=30</f>
        <v>1</v>
      </c>
      <c r="AC47" s="3">
        <v>1000000</v>
      </c>
      <c r="AD47" t="s">
        <v>46</v>
      </c>
      <c r="AE47" s="8">
        <v>46155.560022106481</v>
      </c>
      <c r="AF47" s="6">
        <f t="shared" ref="AF47:AF49" si="32">S47/AC47</f>
        <v>6.9162769501000003</v>
      </c>
      <c r="AG47" s="6" t="b">
        <f>+Tabla9[[#This Row],[CUMPLIMIENTO]]&lt;100%</f>
        <v>0</v>
      </c>
      <c r="AH47" s="12">
        <f>((( (Tabla9[[#This Row],[FTP_CIERRE_MES]]/100)+1)^(30/360) -1)*(36000/30))/36000</f>
        <v>9.2680593701059222E-5</v>
      </c>
      <c r="AI47" s="3">
        <f>Tabla9[[#This Row],[FTP_DIARIO]]*Tabla9[[#This Row],[SALDO_PROM_CORREGIDO]]*Tabla9[[#This Row],[DIAS]]</f>
        <v>19230.139618086574</v>
      </c>
      <c r="AJ47" s="3">
        <f>Tabla9[[#This Row],[REAL_FTP_MONTO]]-Tabla9[[#This Row],[INT_REAL]]</f>
        <v>8374.1540180865741</v>
      </c>
      <c r="AK47" s="3">
        <f>Tabla9[[#This Row],[FTP_DIARIO]]*Tabla9[[#This Row],[COMPROMISO]]*Tabla9[[#This Row],[DIAS]]</f>
        <v>2780.4178110317766</v>
      </c>
      <c r="AL47" s="13">
        <f>((( (Tabla9[[#This Row],[TASA_INT]])+1)^(30/360) -1)*(36000/30))/36000</f>
        <v>5.2323674247123364E-5</v>
      </c>
      <c r="AM47" s="3">
        <f>Tabla9[[#This Row],[TEA DIARIA]]*Tabla9[[#This Row],[SALDO_PROM_CORREGIDO]]*Tabla9[[#This Row],[DIAS]]</f>
        <v>10856.550664197608</v>
      </c>
      <c r="AN47" s="3">
        <f>Tabla9[[#This Row],[TEA DIARIA]]*Tabla9[[#This Row],[COMPROMISO]]*Tabla9[[#This Row],[DIAS]]</f>
        <v>1569.710227413701</v>
      </c>
      <c r="AO47" s="14">
        <f>+Tabla9[[#This Row],[PROYECTADO_FTP_MONTO]]-Tabla9[[#This Row],[PROYECCION_INTERES]]</f>
        <v>1210.7075836180757</v>
      </c>
      <c r="AP47" s="3">
        <f>Tabla9[[#This Row],[PROYECCION_MARGEN(FTP - Int compromiso)]]-Tabla9[[#This Row],[REAL_MARGEN(FTP - Int)]]</f>
        <v>-7163.4464344684984</v>
      </c>
    </row>
    <row r="48" spans="1:42" x14ac:dyDescent="0.35">
      <c r="A48">
        <v>202604</v>
      </c>
      <c r="B48" s="7">
        <v>46142</v>
      </c>
      <c r="C48">
        <v>3667334</v>
      </c>
      <c r="D48" t="s">
        <v>36</v>
      </c>
      <c r="E48" t="s">
        <v>37</v>
      </c>
      <c r="F48" t="s">
        <v>87</v>
      </c>
      <c r="G48" t="s">
        <v>37</v>
      </c>
      <c r="H48" t="s">
        <v>499</v>
      </c>
      <c r="I48" t="s">
        <v>243</v>
      </c>
      <c r="J48" t="str">
        <f t="shared" si="31"/>
        <v>4.4963</v>
      </c>
      <c r="K48" t="s">
        <v>32</v>
      </c>
      <c r="L48" t="s">
        <v>33</v>
      </c>
      <c r="M48" t="s">
        <v>31</v>
      </c>
      <c r="N48" t="s">
        <v>290</v>
      </c>
      <c r="O48" t="s">
        <v>44</v>
      </c>
      <c r="P48" s="3">
        <v>11814014.5909</v>
      </c>
      <c r="Q48" s="3">
        <v>9989810.25</v>
      </c>
      <c r="R48" s="4">
        <v>4.4999999999999998E-2</v>
      </c>
      <c r="S48" s="3">
        <f>+Tabla9[[#This Row],[SAL_PROM_SOL]]</f>
        <v>11814014.5909</v>
      </c>
      <c r="T48" s="4">
        <v>2.3199999999999998E-2</v>
      </c>
      <c r="U48" s="4">
        <v>2.18E-2</v>
      </c>
      <c r="V48" s="3">
        <v>43379.269399999997</v>
      </c>
      <c r="W48" s="3">
        <v>22604.510399999999</v>
      </c>
      <c r="X48" s="3">
        <v>20774.758999999998</v>
      </c>
      <c r="Y48" s="3">
        <v>43.9499</v>
      </c>
      <c r="Z48" s="3">
        <v>20730.809099999999</v>
      </c>
      <c r="AA48">
        <v>30</v>
      </c>
      <c r="AB48" t="b">
        <f>+AA48=30</f>
        <v>1</v>
      </c>
      <c r="AC48" s="3">
        <v>8000000</v>
      </c>
      <c r="AD48" t="s">
        <v>46</v>
      </c>
      <c r="AE48" s="8">
        <v>46155.560022106481</v>
      </c>
      <c r="AF48" s="6">
        <f t="shared" si="32"/>
        <v>1.4767518238624999</v>
      </c>
      <c r="AG48" s="6" t="b">
        <f>+Tabla9[[#This Row],[CUMPLIMIENTO]]&lt;100%</f>
        <v>0</v>
      </c>
      <c r="AH48" s="12">
        <f>((( (Tabla9[[#This Row],[FTP_CIERRE_MES]]/100)+1)^(30/360) -1)*(36000/30))/36000</f>
        <v>1.2239493171416853E-4</v>
      </c>
      <c r="AI48" s="3">
        <f>Tabla9[[#This Row],[FTP_DIARIO]]*Tabla9[[#This Row],[SALDO_PROM_CORREGIDO]]*Tabla9[[#This Row],[DIAS]]</f>
        <v>43379.26527370188</v>
      </c>
      <c r="AJ48" s="3">
        <f>Tabla9[[#This Row],[REAL_FTP_MONTO]]-Tabla9[[#This Row],[INT_REAL]]</f>
        <v>20774.754873701881</v>
      </c>
      <c r="AK48" s="3">
        <f>Tabla9[[#This Row],[FTP_DIARIO]]*Tabla9[[#This Row],[COMPROMISO]]*Tabla9[[#This Row],[DIAS]]</f>
        <v>29374.783611400446</v>
      </c>
      <c r="AL48" s="13">
        <f>((( (Tabla9[[#This Row],[TASA_INT]])+1)^(30/360) -1)*(36000/30))/36000</f>
        <v>6.3769173490905526E-5</v>
      </c>
      <c r="AM48" s="3">
        <f>Tabla9[[#This Row],[TEA DIARIA]]*Tabla9[[#This Row],[SALDO_PROM_CORREGIDO]]*Tabla9[[#This Row],[DIAS]]</f>
        <v>22601.098382135744</v>
      </c>
      <c r="AN48" s="3">
        <f>Tabla9[[#This Row],[TEA DIARIA]]*Tabla9[[#This Row],[COMPROMISO]]*Tabla9[[#This Row],[DIAS]]</f>
        <v>15304.601637817326</v>
      </c>
      <c r="AO48" s="14">
        <f>+Tabla9[[#This Row],[PROYECTADO_FTP_MONTO]]-Tabla9[[#This Row],[PROYECCION_INTERES]]</f>
        <v>14070.18197358312</v>
      </c>
      <c r="AP48" s="3">
        <f>Tabla9[[#This Row],[PROYECCION_MARGEN(FTP - Int compromiso)]]-Tabla9[[#This Row],[REAL_MARGEN(FTP - Int)]]</f>
        <v>-6704.572900118761</v>
      </c>
    </row>
    <row r="49" spans="1:42" x14ac:dyDescent="0.35">
      <c r="A49">
        <v>202604</v>
      </c>
      <c r="B49" s="7">
        <v>46142</v>
      </c>
      <c r="C49">
        <v>3689858</v>
      </c>
      <c r="D49" t="s">
        <v>42</v>
      </c>
      <c r="E49" t="s">
        <v>47</v>
      </c>
      <c r="F49" t="s">
        <v>88</v>
      </c>
      <c r="G49" t="s">
        <v>47</v>
      </c>
      <c r="H49" t="s">
        <v>500</v>
      </c>
      <c r="I49" t="s">
        <v>243</v>
      </c>
      <c r="J49" t="str">
        <f t="shared" si="31"/>
        <v>4.4963</v>
      </c>
      <c r="K49" t="s">
        <v>32</v>
      </c>
      <c r="L49" t="s">
        <v>33</v>
      </c>
      <c r="M49" t="s">
        <v>31</v>
      </c>
      <c r="N49" t="s">
        <v>291</v>
      </c>
      <c r="O49" t="s">
        <v>44</v>
      </c>
      <c r="P49" s="3">
        <v>4479462.8197999997</v>
      </c>
      <c r="Q49" s="3">
        <v>3847863.69</v>
      </c>
      <c r="R49" s="4">
        <v>4.4999999999999998E-2</v>
      </c>
      <c r="S49" s="3">
        <f>+Tabla9[[#This Row],[SAL_PROM_SOL]]</f>
        <v>4479462.8197999997</v>
      </c>
      <c r="T49" s="4">
        <v>3.7999999999999999E-2</v>
      </c>
      <c r="U49" s="4">
        <v>7.0000000000000001E-3</v>
      </c>
      <c r="V49" s="3">
        <v>16447.909899999999</v>
      </c>
      <c r="W49" s="3">
        <v>13942.311400000001</v>
      </c>
      <c r="X49" s="3">
        <v>2505.5985000000001</v>
      </c>
      <c r="Y49" s="3">
        <v>43.9499</v>
      </c>
      <c r="Z49" s="3">
        <v>2461.6486</v>
      </c>
      <c r="AA49">
        <v>30</v>
      </c>
      <c r="AB49" t="b">
        <f>+AA49=30</f>
        <v>1</v>
      </c>
      <c r="AC49" s="3">
        <v>5000000</v>
      </c>
      <c r="AD49" t="s">
        <v>46</v>
      </c>
      <c r="AE49" s="8">
        <v>46155.560022106481</v>
      </c>
      <c r="AF49" s="6">
        <f t="shared" si="32"/>
        <v>0.89589256395999994</v>
      </c>
      <c r="AG49" s="6" t="b">
        <f>+Tabla9[[#This Row],[CUMPLIMIENTO]]&lt;100%</f>
        <v>1</v>
      </c>
      <c r="AH49" s="12">
        <f>((( (Tabla9[[#This Row],[FTP_CIERRE_MES]]/100)+1)^(30/360) -1)*(36000/30))/36000</f>
        <v>1.2239493171416853E-4</v>
      </c>
      <c r="AI49" s="3">
        <f>Tabla9[[#This Row],[FTP_DIARIO]]*Tabla9[[#This Row],[SALDO_PROM_CORREGIDO]]*Tabla9[[#This Row],[DIAS]]</f>
        <v>16447.906378367334</v>
      </c>
      <c r="AJ49" s="3">
        <f>Tabla9[[#This Row],[REAL_FTP_MONTO]]-Tabla9[[#This Row],[INT_REAL]]</f>
        <v>2505.5949783673332</v>
      </c>
      <c r="AK49" s="3">
        <f>Tabla9[[#This Row],[FTP_DIARIO]]*Tabla9[[#This Row],[COMPROMISO]]*Tabla9[[#This Row],[DIAS]]</f>
        <v>18359.23975712528</v>
      </c>
      <c r="AL49" s="13">
        <f>((( (Tabla9[[#This Row],[TASA_INT]])+1)^(30/360) -1)*(36000/30))/36000</f>
        <v>1.0376056152443525E-4</v>
      </c>
      <c r="AM49" s="3">
        <f>Tabla9[[#This Row],[TEA DIARIA]]*Tabla9[[#This Row],[SALDO_PROM_CORREGIDO]]*Tabla9[[#This Row],[DIAS]]</f>
        <v>13943.747325308343</v>
      </c>
      <c r="AN49" s="3">
        <f>Tabla9[[#This Row],[TEA DIARIA]]*Tabla9[[#This Row],[COMPROMISO]]*Tabla9[[#This Row],[DIAS]]</f>
        <v>15564.084228665288</v>
      </c>
      <c r="AO49" s="14">
        <f>+Tabla9[[#This Row],[PROYECTADO_FTP_MONTO]]-Tabla9[[#This Row],[PROYECCION_INTERES]]</f>
        <v>2795.1555284599926</v>
      </c>
      <c r="AP49" s="3">
        <f>Tabla9[[#This Row],[PROYECCION_MARGEN(FTP - Int compromiso)]]-Tabla9[[#This Row],[REAL_MARGEN(FTP - Int)]]</f>
        <v>289.56055009265947</v>
      </c>
    </row>
    <row r="50" spans="1:42" x14ac:dyDescent="0.35">
      <c r="A50">
        <v>202604</v>
      </c>
      <c r="B50" s="7">
        <v>46142</v>
      </c>
      <c r="C50">
        <v>3879657</v>
      </c>
      <c r="D50" t="s">
        <v>42</v>
      </c>
      <c r="E50" t="s">
        <v>47</v>
      </c>
      <c r="F50" t="s">
        <v>89</v>
      </c>
      <c r="G50" t="s">
        <v>47</v>
      </c>
      <c r="H50" t="s">
        <v>494</v>
      </c>
      <c r="I50" t="s">
        <v>243</v>
      </c>
      <c r="J50" t="str">
        <f t="shared" si="31"/>
        <v>4.4963</v>
      </c>
      <c r="K50" t="s">
        <v>32</v>
      </c>
      <c r="L50" t="s">
        <v>33</v>
      </c>
      <c r="M50" t="s">
        <v>31</v>
      </c>
      <c r="N50" t="s">
        <v>246</v>
      </c>
      <c r="O50" t="s">
        <v>44</v>
      </c>
      <c r="P50" s="3">
        <v>26926.728599999999</v>
      </c>
      <c r="Q50" s="3">
        <v>26927.77</v>
      </c>
      <c r="R50" s="4">
        <v>4.4999999999999998E-2</v>
      </c>
      <c r="T50" s="4">
        <v>2.3E-2</v>
      </c>
      <c r="U50" s="4">
        <v>2.1999999999999999E-2</v>
      </c>
      <c r="V50" s="3">
        <v>98.869200000000006</v>
      </c>
      <c r="W50" s="3">
        <v>51.07</v>
      </c>
      <c r="X50" s="3">
        <v>47.799199999999999</v>
      </c>
      <c r="Y50" s="3">
        <v>0</v>
      </c>
      <c r="Z50" s="3">
        <v>47.799199999999999</v>
      </c>
      <c r="AA50">
        <v>30</v>
      </c>
      <c r="AB50" t="b">
        <f t="shared" ref="AB50:AB57" si="33">+AA50=30</f>
        <v>1</v>
      </c>
      <c r="AD50" t="s">
        <v>46</v>
      </c>
      <c r="AE50" s="8">
        <v>46155.560022106481</v>
      </c>
      <c r="AF50" s="6" t="e">
        <f t="shared" ref="AF50:AF58" si="34">S50/AC50</f>
        <v>#DIV/0!</v>
      </c>
      <c r="AG50" s="6" t="e">
        <f>+Tabla9[[#This Row],[CUMPLIMIENTO]]&lt;100%</f>
        <v>#DIV/0!</v>
      </c>
      <c r="AH50" s="12">
        <f>((( (Tabla9[[#This Row],[FTP_CIERRE_MES]]/100)+1)^(30/360) -1)*(36000/30))/36000</f>
        <v>1.2239493171416853E-4</v>
      </c>
      <c r="AI50" s="3">
        <f>Tabla9[[#This Row],[FTP_DIARIO]]*Tabla9[[#This Row],[SALDO_PROM_CORREGIDO]]*Tabla9[[#This Row],[DIAS]]</f>
        <v>0</v>
      </c>
      <c r="AJ50" s="3">
        <f>Tabla9[[#This Row],[REAL_FTP_MONTO]]-Tabla9[[#This Row],[INT_REAL]]</f>
        <v>-51.07</v>
      </c>
      <c r="AK50" s="3">
        <f>Tabla9[[#This Row],[FTP_DIARIO]]*Tabla9[[#This Row],[COMPROMISO]]*Tabla9[[#This Row],[DIAS]]</f>
        <v>0</v>
      </c>
      <c r="AL50" s="13">
        <f>((( (Tabla9[[#This Row],[TASA_INT]])+1)^(30/360) -1)*(36000/30))/36000</f>
        <v>6.3225127118945082E-5</v>
      </c>
      <c r="AM50" s="3">
        <f>Tabla9[[#This Row],[TEA DIARIA]]*Tabla9[[#This Row],[SALDO_PROM_CORREGIDO]]*Tabla9[[#This Row],[DIAS]]</f>
        <v>0</v>
      </c>
      <c r="AN50" s="3">
        <f>Tabla9[[#This Row],[TEA DIARIA]]*Tabla9[[#This Row],[COMPROMISO]]*Tabla9[[#This Row],[DIAS]]</f>
        <v>0</v>
      </c>
      <c r="AO50" s="14">
        <f>+Tabla9[[#This Row],[PROYECTADO_FTP_MONTO]]-Tabla9[[#This Row],[PROYECCION_INTERES]]</f>
        <v>0</v>
      </c>
      <c r="AP50" s="3">
        <f>Tabla9[[#This Row],[PROYECCION_MARGEN(FTP - Int compromiso)]]-Tabla9[[#This Row],[REAL_MARGEN(FTP - Int)]]</f>
        <v>51.07</v>
      </c>
    </row>
    <row r="51" spans="1:42" x14ac:dyDescent="0.35">
      <c r="A51">
        <v>202604</v>
      </c>
      <c r="B51" s="7">
        <v>46142</v>
      </c>
      <c r="C51">
        <v>3879657</v>
      </c>
      <c r="D51" t="s">
        <v>42</v>
      </c>
      <c r="E51" t="s">
        <v>47</v>
      </c>
      <c r="F51" t="s">
        <v>89</v>
      </c>
      <c r="G51" t="s">
        <v>47</v>
      </c>
      <c r="H51" t="s">
        <v>494</v>
      </c>
      <c r="I51" t="s">
        <v>243</v>
      </c>
      <c r="J51" t="str">
        <f t="shared" si="31"/>
        <v>4.4963</v>
      </c>
      <c r="K51" t="s">
        <v>32</v>
      </c>
      <c r="L51" t="s">
        <v>33</v>
      </c>
      <c r="M51" t="s">
        <v>31</v>
      </c>
      <c r="N51" t="s">
        <v>292</v>
      </c>
      <c r="O51" t="s">
        <v>44</v>
      </c>
      <c r="P51" s="3">
        <v>154999.91089999999</v>
      </c>
      <c r="Q51" s="3">
        <v>155235.74</v>
      </c>
      <c r="R51" s="4">
        <v>4.4999999999999998E-2</v>
      </c>
      <c r="T51" s="4">
        <v>2.3E-2</v>
      </c>
      <c r="U51" s="4">
        <v>2.1999999999999999E-2</v>
      </c>
      <c r="V51" s="3">
        <v>569.14170000000001</v>
      </c>
      <c r="W51" s="3">
        <v>293.9599</v>
      </c>
      <c r="X51" s="3">
        <v>275.18180000000001</v>
      </c>
      <c r="Y51" s="3">
        <v>0</v>
      </c>
      <c r="Z51" s="3">
        <v>275.18180000000001</v>
      </c>
      <c r="AA51">
        <v>30</v>
      </c>
      <c r="AB51" t="b">
        <f t="shared" si="33"/>
        <v>1</v>
      </c>
      <c r="AD51" t="s">
        <v>46</v>
      </c>
      <c r="AE51" s="8">
        <v>46155.560022106481</v>
      </c>
      <c r="AF51" s="6" t="e">
        <f t="shared" si="34"/>
        <v>#DIV/0!</v>
      </c>
      <c r="AG51" s="6" t="e">
        <f>+Tabla9[[#This Row],[CUMPLIMIENTO]]&lt;100%</f>
        <v>#DIV/0!</v>
      </c>
      <c r="AH51" s="12">
        <f>((( (Tabla9[[#This Row],[FTP_CIERRE_MES]]/100)+1)^(30/360) -1)*(36000/30))/36000</f>
        <v>1.2239493171416853E-4</v>
      </c>
      <c r="AI51" s="3">
        <f>Tabla9[[#This Row],[FTP_DIARIO]]*Tabla9[[#This Row],[SALDO_PROM_CORREGIDO]]*Tabla9[[#This Row],[DIAS]]</f>
        <v>0</v>
      </c>
      <c r="AJ51" s="3">
        <f>Tabla9[[#This Row],[REAL_FTP_MONTO]]-Tabla9[[#This Row],[INT_REAL]]</f>
        <v>-293.9599</v>
      </c>
      <c r="AK51" s="3">
        <f>Tabla9[[#This Row],[FTP_DIARIO]]*Tabla9[[#This Row],[COMPROMISO]]*Tabla9[[#This Row],[DIAS]]</f>
        <v>0</v>
      </c>
      <c r="AL51" s="13">
        <f>((( (Tabla9[[#This Row],[TASA_INT]])+1)^(30/360) -1)*(36000/30))/36000</f>
        <v>6.3225127118945082E-5</v>
      </c>
      <c r="AM51" s="3">
        <f>Tabla9[[#This Row],[TEA DIARIA]]*Tabla9[[#This Row],[SALDO_PROM_CORREGIDO]]*Tabla9[[#This Row],[DIAS]]</f>
        <v>0</v>
      </c>
      <c r="AN51" s="3">
        <f>Tabla9[[#This Row],[TEA DIARIA]]*Tabla9[[#This Row],[COMPROMISO]]*Tabla9[[#This Row],[DIAS]]</f>
        <v>0</v>
      </c>
      <c r="AO51" s="14">
        <f>+Tabla9[[#This Row],[PROYECTADO_FTP_MONTO]]-Tabla9[[#This Row],[PROYECCION_INTERES]]</f>
        <v>0</v>
      </c>
      <c r="AP51" s="3">
        <f>Tabla9[[#This Row],[PROYECCION_MARGEN(FTP - Int compromiso)]]-Tabla9[[#This Row],[REAL_MARGEN(FTP - Int)]]</f>
        <v>293.9599</v>
      </c>
    </row>
    <row r="52" spans="1:42" x14ac:dyDescent="0.35">
      <c r="A52">
        <v>202604</v>
      </c>
      <c r="B52" s="7">
        <v>46142</v>
      </c>
      <c r="C52">
        <v>3879657</v>
      </c>
      <c r="D52" t="s">
        <v>42</v>
      </c>
      <c r="E52" t="s">
        <v>47</v>
      </c>
      <c r="F52" t="s">
        <v>89</v>
      </c>
      <c r="G52" t="s">
        <v>47</v>
      </c>
      <c r="H52" t="s">
        <v>494</v>
      </c>
      <c r="I52" t="s">
        <v>243</v>
      </c>
      <c r="J52" t="str">
        <f t="shared" si="31"/>
        <v>4.4963</v>
      </c>
      <c r="K52" t="s">
        <v>32</v>
      </c>
      <c r="L52" t="s">
        <v>33</v>
      </c>
      <c r="M52" t="s">
        <v>31</v>
      </c>
      <c r="N52" t="s">
        <v>293</v>
      </c>
      <c r="O52" t="s">
        <v>44</v>
      </c>
      <c r="P52" s="3">
        <v>206260.92</v>
      </c>
      <c r="Q52" s="3">
        <v>212249.28</v>
      </c>
      <c r="R52" s="4">
        <v>4.4999999999999998E-2</v>
      </c>
      <c r="T52" s="4">
        <v>2.3E-2</v>
      </c>
      <c r="U52" s="4">
        <v>2.1999999999999999E-2</v>
      </c>
      <c r="V52" s="3">
        <v>757.36019999999996</v>
      </c>
      <c r="W52" s="3">
        <v>391.73079999999999</v>
      </c>
      <c r="X52" s="3">
        <v>365.62939999999998</v>
      </c>
      <c r="Y52" s="3">
        <v>0</v>
      </c>
      <c r="Z52" s="3">
        <v>365.62939999999998</v>
      </c>
      <c r="AA52">
        <v>30</v>
      </c>
      <c r="AB52" t="b">
        <f t="shared" si="33"/>
        <v>1</v>
      </c>
      <c r="AD52" t="s">
        <v>46</v>
      </c>
      <c r="AE52" s="8">
        <v>46155.560022106481</v>
      </c>
      <c r="AF52" s="6" t="e">
        <f t="shared" si="34"/>
        <v>#DIV/0!</v>
      </c>
      <c r="AG52" s="6" t="e">
        <f>+Tabla9[[#This Row],[CUMPLIMIENTO]]&lt;100%</f>
        <v>#DIV/0!</v>
      </c>
      <c r="AH52" s="12">
        <f>((( (Tabla9[[#This Row],[FTP_CIERRE_MES]]/100)+1)^(30/360) -1)*(36000/30))/36000</f>
        <v>1.2239493171416853E-4</v>
      </c>
      <c r="AI52" s="3">
        <f>Tabla9[[#This Row],[FTP_DIARIO]]*Tabla9[[#This Row],[SALDO_PROM_CORREGIDO]]*Tabla9[[#This Row],[DIAS]]</f>
        <v>0</v>
      </c>
      <c r="AJ52" s="3">
        <f>Tabla9[[#This Row],[REAL_FTP_MONTO]]-Tabla9[[#This Row],[INT_REAL]]</f>
        <v>-391.73079999999999</v>
      </c>
      <c r="AK52" s="3">
        <f>Tabla9[[#This Row],[FTP_DIARIO]]*Tabla9[[#This Row],[COMPROMISO]]*Tabla9[[#This Row],[DIAS]]</f>
        <v>0</v>
      </c>
      <c r="AL52" s="13">
        <f>((( (Tabla9[[#This Row],[TASA_INT]])+1)^(30/360) -1)*(36000/30))/36000</f>
        <v>6.3225127118945082E-5</v>
      </c>
      <c r="AM52" s="3">
        <f>Tabla9[[#This Row],[TEA DIARIA]]*Tabla9[[#This Row],[SALDO_PROM_CORREGIDO]]*Tabla9[[#This Row],[DIAS]]</f>
        <v>0</v>
      </c>
      <c r="AN52" s="3">
        <f>Tabla9[[#This Row],[TEA DIARIA]]*Tabla9[[#This Row],[COMPROMISO]]*Tabla9[[#This Row],[DIAS]]</f>
        <v>0</v>
      </c>
      <c r="AO52" s="14">
        <f>+Tabla9[[#This Row],[PROYECTADO_FTP_MONTO]]-Tabla9[[#This Row],[PROYECCION_INTERES]]</f>
        <v>0</v>
      </c>
      <c r="AP52" s="3">
        <f>Tabla9[[#This Row],[PROYECCION_MARGEN(FTP - Int compromiso)]]-Tabla9[[#This Row],[REAL_MARGEN(FTP - Int)]]</f>
        <v>391.73079999999999</v>
      </c>
    </row>
    <row r="53" spans="1:42" x14ac:dyDescent="0.35">
      <c r="A53">
        <v>202604</v>
      </c>
      <c r="B53" s="7">
        <v>46142</v>
      </c>
      <c r="C53">
        <v>3879657</v>
      </c>
      <c r="D53" t="s">
        <v>42</v>
      </c>
      <c r="E53" t="s">
        <v>47</v>
      </c>
      <c r="F53" t="s">
        <v>89</v>
      </c>
      <c r="G53" t="s">
        <v>47</v>
      </c>
      <c r="H53" t="s">
        <v>494</v>
      </c>
      <c r="I53" t="s">
        <v>243</v>
      </c>
      <c r="J53" t="str">
        <f t="shared" si="31"/>
        <v>4.4963</v>
      </c>
      <c r="K53" t="s">
        <v>32</v>
      </c>
      <c r="L53" t="s">
        <v>33</v>
      </c>
      <c r="M53" t="s">
        <v>31</v>
      </c>
      <c r="N53" t="s">
        <v>294</v>
      </c>
      <c r="O53" t="s">
        <v>44</v>
      </c>
      <c r="P53" s="3">
        <v>302245.64860000001</v>
      </c>
      <c r="Q53" s="3">
        <v>304530.15999999997</v>
      </c>
      <c r="R53" s="4">
        <v>4.4999999999999998E-2</v>
      </c>
      <c r="T53" s="4">
        <v>2.3E-2</v>
      </c>
      <c r="U53" s="4">
        <v>2.1999999999999999E-2</v>
      </c>
      <c r="V53" s="3">
        <v>1109.7994000000001</v>
      </c>
      <c r="W53" s="3">
        <v>573.66920000000005</v>
      </c>
      <c r="X53" s="3">
        <v>536.13019999999995</v>
      </c>
      <c r="Y53" s="3">
        <v>0</v>
      </c>
      <c r="Z53" s="3">
        <v>536.13019999999995</v>
      </c>
      <c r="AA53">
        <v>30</v>
      </c>
      <c r="AB53" t="b">
        <f t="shared" si="33"/>
        <v>1</v>
      </c>
      <c r="AD53" t="s">
        <v>46</v>
      </c>
      <c r="AE53" s="8">
        <v>46155.560022106481</v>
      </c>
      <c r="AF53" s="6" t="e">
        <f t="shared" si="34"/>
        <v>#DIV/0!</v>
      </c>
      <c r="AG53" s="6" t="e">
        <f>+Tabla9[[#This Row],[CUMPLIMIENTO]]&lt;100%</f>
        <v>#DIV/0!</v>
      </c>
      <c r="AH53" s="12">
        <f>((( (Tabla9[[#This Row],[FTP_CIERRE_MES]]/100)+1)^(30/360) -1)*(36000/30))/36000</f>
        <v>1.2239493171416853E-4</v>
      </c>
      <c r="AI53" s="3">
        <f>Tabla9[[#This Row],[FTP_DIARIO]]*Tabla9[[#This Row],[SALDO_PROM_CORREGIDO]]*Tabla9[[#This Row],[DIAS]]</f>
        <v>0</v>
      </c>
      <c r="AJ53" s="3">
        <f>Tabla9[[#This Row],[REAL_FTP_MONTO]]-Tabla9[[#This Row],[INT_REAL]]</f>
        <v>-573.66920000000005</v>
      </c>
      <c r="AK53" s="3">
        <f>Tabla9[[#This Row],[FTP_DIARIO]]*Tabla9[[#This Row],[COMPROMISO]]*Tabla9[[#This Row],[DIAS]]</f>
        <v>0</v>
      </c>
      <c r="AL53" s="13">
        <f>((( (Tabla9[[#This Row],[TASA_INT]])+1)^(30/360) -1)*(36000/30))/36000</f>
        <v>6.3225127118945082E-5</v>
      </c>
      <c r="AM53" s="3">
        <f>Tabla9[[#This Row],[TEA DIARIA]]*Tabla9[[#This Row],[SALDO_PROM_CORREGIDO]]*Tabla9[[#This Row],[DIAS]]</f>
        <v>0</v>
      </c>
      <c r="AN53" s="3">
        <f>Tabla9[[#This Row],[TEA DIARIA]]*Tabla9[[#This Row],[COMPROMISO]]*Tabla9[[#This Row],[DIAS]]</f>
        <v>0</v>
      </c>
      <c r="AO53" s="14">
        <f>+Tabla9[[#This Row],[PROYECTADO_FTP_MONTO]]-Tabla9[[#This Row],[PROYECCION_INTERES]]</f>
        <v>0</v>
      </c>
      <c r="AP53" s="3">
        <f>Tabla9[[#This Row],[PROYECCION_MARGEN(FTP - Int compromiso)]]-Tabla9[[#This Row],[REAL_MARGEN(FTP - Int)]]</f>
        <v>573.66920000000005</v>
      </c>
    </row>
    <row r="54" spans="1:42" x14ac:dyDescent="0.35">
      <c r="A54">
        <v>202604</v>
      </c>
      <c r="B54" s="7">
        <v>46142</v>
      </c>
      <c r="C54">
        <v>3879657</v>
      </c>
      <c r="D54" t="s">
        <v>42</v>
      </c>
      <c r="E54" t="s">
        <v>47</v>
      </c>
      <c r="F54" t="s">
        <v>89</v>
      </c>
      <c r="G54" t="s">
        <v>47</v>
      </c>
      <c r="H54" t="s">
        <v>494</v>
      </c>
      <c r="I54" t="s">
        <v>243</v>
      </c>
      <c r="J54" t="str">
        <f t="shared" si="31"/>
        <v>4.4963</v>
      </c>
      <c r="K54" t="s">
        <v>32</v>
      </c>
      <c r="L54" t="s">
        <v>33</v>
      </c>
      <c r="M54" t="s">
        <v>31</v>
      </c>
      <c r="N54" t="s">
        <v>295</v>
      </c>
      <c r="O54" t="s">
        <v>44</v>
      </c>
      <c r="P54" s="3">
        <v>455643.59019999998</v>
      </c>
      <c r="Q54" s="3">
        <v>460376.22</v>
      </c>
      <c r="R54" s="4">
        <v>4.4999999999999998E-2</v>
      </c>
      <c r="T54" s="4">
        <v>2.3E-2</v>
      </c>
      <c r="U54" s="4">
        <v>2.1999999999999999E-2</v>
      </c>
      <c r="V54" s="3">
        <v>1673.0500999999999</v>
      </c>
      <c r="W54" s="3">
        <v>864.46839999999997</v>
      </c>
      <c r="X54" s="3">
        <v>808.58169999999996</v>
      </c>
      <c r="Y54" s="3">
        <v>0</v>
      </c>
      <c r="Z54" s="3">
        <v>808.58169999999996</v>
      </c>
      <c r="AA54">
        <v>30</v>
      </c>
      <c r="AB54" t="b">
        <f t="shared" si="33"/>
        <v>1</v>
      </c>
      <c r="AD54" t="s">
        <v>46</v>
      </c>
      <c r="AE54" s="8">
        <v>46155.560022106481</v>
      </c>
      <c r="AF54" s="6" t="e">
        <f t="shared" si="34"/>
        <v>#DIV/0!</v>
      </c>
      <c r="AG54" s="6" t="e">
        <f>+Tabla9[[#This Row],[CUMPLIMIENTO]]&lt;100%</f>
        <v>#DIV/0!</v>
      </c>
      <c r="AH54" s="12">
        <f>((( (Tabla9[[#This Row],[FTP_CIERRE_MES]]/100)+1)^(30/360) -1)*(36000/30))/36000</f>
        <v>1.2239493171416853E-4</v>
      </c>
      <c r="AI54" s="3">
        <f>Tabla9[[#This Row],[FTP_DIARIO]]*Tabla9[[#This Row],[SALDO_PROM_CORREGIDO]]*Tabla9[[#This Row],[DIAS]]</f>
        <v>0</v>
      </c>
      <c r="AJ54" s="3">
        <f>Tabla9[[#This Row],[REAL_FTP_MONTO]]-Tabla9[[#This Row],[INT_REAL]]</f>
        <v>-864.46839999999997</v>
      </c>
      <c r="AK54" s="3">
        <f>Tabla9[[#This Row],[FTP_DIARIO]]*Tabla9[[#This Row],[COMPROMISO]]*Tabla9[[#This Row],[DIAS]]</f>
        <v>0</v>
      </c>
      <c r="AL54" s="13">
        <f>((( (Tabla9[[#This Row],[TASA_INT]])+1)^(30/360) -1)*(36000/30))/36000</f>
        <v>6.3225127118945082E-5</v>
      </c>
      <c r="AM54" s="3">
        <f>Tabla9[[#This Row],[TEA DIARIA]]*Tabla9[[#This Row],[SALDO_PROM_CORREGIDO]]*Tabla9[[#This Row],[DIAS]]</f>
        <v>0</v>
      </c>
      <c r="AN54" s="3">
        <f>Tabla9[[#This Row],[TEA DIARIA]]*Tabla9[[#This Row],[COMPROMISO]]*Tabla9[[#This Row],[DIAS]]</f>
        <v>0</v>
      </c>
      <c r="AO54" s="14">
        <f>+Tabla9[[#This Row],[PROYECTADO_FTP_MONTO]]-Tabla9[[#This Row],[PROYECCION_INTERES]]</f>
        <v>0</v>
      </c>
      <c r="AP54" s="3">
        <f>Tabla9[[#This Row],[PROYECCION_MARGEN(FTP - Int compromiso)]]-Tabla9[[#This Row],[REAL_MARGEN(FTP - Int)]]</f>
        <v>864.46839999999997</v>
      </c>
    </row>
    <row r="55" spans="1:42" x14ac:dyDescent="0.35">
      <c r="A55">
        <v>202604</v>
      </c>
      <c r="B55" s="7">
        <v>46142</v>
      </c>
      <c r="C55">
        <v>3879657</v>
      </c>
      <c r="D55" t="s">
        <v>42</v>
      </c>
      <c r="E55" t="s">
        <v>47</v>
      </c>
      <c r="F55" t="s">
        <v>89</v>
      </c>
      <c r="G55" t="s">
        <v>47</v>
      </c>
      <c r="H55" t="s">
        <v>494</v>
      </c>
      <c r="I55" t="s">
        <v>243</v>
      </c>
      <c r="J55" t="str">
        <f t="shared" si="31"/>
        <v>4.4963</v>
      </c>
      <c r="K55" t="s">
        <v>32</v>
      </c>
      <c r="L55" t="s">
        <v>33</v>
      </c>
      <c r="M55" t="s">
        <v>31</v>
      </c>
      <c r="N55" t="s">
        <v>296</v>
      </c>
      <c r="O55" t="s">
        <v>44</v>
      </c>
      <c r="P55" s="3">
        <v>1563533.8413</v>
      </c>
      <c r="Q55" s="3">
        <v>1581429.56</v>
      </c>
      <c r="R55" s="4">
        <v>4.4999999999999998E-2</v>
      </c>
      <c r="T55" s="4">
        <v>2.3E-2</v>
      </c>
      <c r="U55" s="4">
        <v>2.1999999999999999E-2</v>
      </c>
      <c r="V55" s="3">
        <v>5741.0613000000003</v>
      </c>
      <c r="W55" s="3">
        <v>2966.4303</v>
      </c>
      <c r="X55" s="3">
        <v>2774.6309999999999</v>
      </c>
      <c r="Y55" s="3">
        <v>0</v>
      </c>
      <c r="Z55" s="3">
        <v>2774.6309999999999</v>
      </c>
      <c r="AA55">
        <v>30</v>
      </c>
      <c r="AB55" t="b">
        <f t="shared" si="33"/>
        <v>1</v>
      </c>
      <c r="AD55" t="s">
        <v>46</v>
      </c>
      <c r="AE55" s="8">
        <v>46155.560022106481</v>
      </c>
      <c r="AF55" s="6" t="e">
        <f t="shared" si="34"/>
        <v>#DIV/0!</v>
      </c>
      <c r="AG55" s="6" t="e">
        <f>+Tabla9[[#This Row],[CUMPLIMIENTO]]&lt;100%</f>
        <v>#DIV/0!</v>
      </c>
      <c r="AH55" s="12">
        <f>((( (Tabla9[[#This Row],[FTP_CIERRE_MES]]/100)+1)^(30/360) -1)*(36000/30))/36000</f>
        <v>1.2239493171416853E-4</v>
      </c>
      <c r="AI55" s="3">
        <f>Tabla9[[#This Row],[FTP_DIARIO]]*Tabla9[[#This Row],[SALDO_PROM_CORREGIDO]]*Tabla9[[#This Row],[DIAS]]</f>
        <v>0</v>
      </c>
      <c r="AJ55" s="3">
        <f>Tabla9[[#This Row],[REAL_FTP_MONTO]]-Tabla9[[#This Row],[INT_REAL]]</f>
        <v>-2966.4303</v>
      </c>
      <c r="AK55" s="3">
        <f>Tabla9[[#This Row],[FTP_DIARIO]]*Tabla9[[#This Row],[COMPROMISO]]*Tabla9[[#This Row],[DIAS]]</f>
        <v>0</v>
      </c>
      <c r="AL55" s="13">
        <f>((( (Tabla9[[#This Row],[TASA_INT]])+1)^(30/360) -1)*(36000/30))/36000</f>
        <v>6.3225127118945082E-5</v>
      </c>
      <c r="AM55" s="3">
        <f>Tabla9[[#This Row],[TEA DIARIA]]*Tabla9[[#This Row],[SALDO_PROM_CORREGIDO]]*Tabla9[[#This Row],[DIAS]]</f>
        <v>0</v>
      </c>
      <c r="AN55" s="3">
        <f>Tabla9[[#This Row],[TEA DIARIA]]*Tabla9[[#This Row],[COMPROMISO]]*Tabla9[[#This Row],[DIAS]]</f>
        <v>0</v>
      </c>
      <c r="AO55" s="14">
        <f>+Tabla9[[#This Row],[PROYECTADO_FTP_MONTO]]-Tabla9[[#This Row],[PROYECCION_INTERES]]</f>
        <v>0</v>
      </c>
      <c r="AP55" s="3">
        <f>Tabla9[[#This Row],[PROYECCION_MARGEN(FTP - Int compromiso)]]-Tabla9[[#This Row],[REAL_MARGEN(FTP - Int)]]</f>
        <v>2966.4303</v>
      </c>
    </row>
    <row r="56" spans="1:42" x14ac:dyDescent="0.35">
      <c r="A56">
        <v>202604</v>
      </c>
      <c r="B56" s="7">
        <v>46142</v>
      </c>
      <c r="C56">
        <v>3879657</v>
      </c>
      <c r="D56" t="s">
        <v>42</v>
      </c>
      <c r="E56" t="s">
        <v>47</v>
      </c>
      <c r="F56" t="s">
        <v>89</v>
      </c>
      <c r="G56" t="s">
        <v>47</v>
      </c>
      <c r="H56" t="s">
        <v>494</v>
      </c>
      <c r="I56" t="s">
        <v>243</v>
      </c>
      <c r="J56" t="str">
        <f t="shared" si="31"/>
        <v>4.4963</v>
      </c>
      <c r="K56" t="s">
        <v>32</v>
      </c>
      <c r="L56" t="s">
        <v>33</v>
      </c>
      <c r="M56" t="s">
        <v>31</v>
      </c>
      <c r="N56" t="s">
        <v>297</v>
      </c>
      <c r="O56" t="s">
        <v>44</v>
      </c>
      <c r="P56" s="3">
        <v>1641044.341</v>
      </c>
      <c r="Q56" s="3">
        <v>1644004.52</v>
      </c>
      <c r="R56" s="4">
        <v>4.4999999999999998E-2</v>
      </c>
      <c r="T56" s="4">
        <v>2.3E-2</v>
      </c>
      <c r="U56" s="4">
        <v>2.1999999999999999E-2</v>
      </c>
      <c r="V56" s="3">
        <v>6025.67</v>
      </c>
      <c r="W56" s="3">
        <v>3112.2516000000001</v>
      </c>
      <c r="X56" s="3">
        <v>2913.4184</v>
      </c>
      <c r="Y56" s="3">
        <v>0</v>
      </c>
      <c r="Z56" s="3">
        <v>2913.4184</v>
      </c>
      <c r="AA56">
        <v>30</v>
      </c>
      <c r="AB56" t="b">
        <f t="shared" si="33"/>
        <v>1</v>
      </c>
      <c r="AD56" t="s">
        <v>46</v>
      </c>
      <c r="AE56" s="8">
        <v>46155.560022106481</v>
      </c>
      <c r="AF56" s="6" t="e">
        <f t="shared" si="34"/>
        <v>#DIV/0!</v>
      </c>
      <c r="AG56" s="6" t="e">
        <f>+Tabla9[[#This Row],[CUMPLIMIENTO]]&lt;100%</f>
        <v>#DIV/0!</v>
      </c>
      <c r="AH56" s="12">
        <f>((( (Tabla9[[#This Row],[FTP_CIERRE_MES]]/100)+1)^(30/360) -1)*(36000/30))/36000</f>
        <v>1.2239493171416853E-4</v>
      </c>
      <c r="AI56" s="3">
        <f>Tabla9[[#This Row],[FTP_DIARIO]]*Tabla9[[#This Row],[SALDO_PROM_CORREGIDO]]*Tabla9[[#This Row],[DIAS]]</f>
        <v>0</v>
      </c>
      <c r="AJ56" s="3">
        <f>Tabla9[[#This Row],[REAL_FTP_MONTO]]-Tabla9[[#This Row],[INT_REAL]]</f>
        <v>-3112.2516000000001</v>
      </c>
      <c r="AK56" s="3">
        <f>Tabla9[[#This Row],[FTP_DIARIO]]*Tabla9[[#This Row],[COMPROMISO]]*Tabla9[[#This Row],[DIAS]]</f>
        <v>0</v>
      </c>
      <c r="AL56" s="13">
        <f>((( (Tabla9[[#This Row],[TASA_INT]])+1)^(30/360) -1)*(36000/30))/36000</f>
        <v>6.3225127118945082E-5</v>
      </c>
      <c r="AM56" s="3">
        <f>Tabla9[[#This Row],[TEA DIARIA]]*Tabla9[[#This Row],[SALDO_PROM_CORREGIDO]]*Tabla9[[#This Row],[DIAS]]</f>
        <v>0</v>
      </c>
      <c r="AN56" s="3">
        <f>Tabla9[[#This Row],[TEA DIARIA]]*Tabla9[[#This Row],[COMPROMISO]]*Tabla9[[#This Row],[DIAS]]</f>
        <v>0</v>
      </c>
      <c r="AO56" s="14">
        <f>+Tabla9[[#This Row],[PROYECTADO_FTP_MONTO]]-Tabla9[[#This Row],[PROYECCION_INTERES]]</f>
        <v>0</v>
      </c>
      <c r="AP56" s="3">
        <f>Tabla9[[#This Row],[PROYECCION_MARGEN(FTP - Int compromiso)]]-Tabla9[[#This Row],[REAL_MARGEN(FTP - Int)]]</f>
        <v>3112.2516000000001</v>
      </c>
    </row>
    <row r="57" spans="1:42" x14ac:dyDescent="0.35">
      <c r="A57">
        <v>202604</v>
      </c>
      <c r="B57" s="7">
        <v>46142</v>
      </c>
      <c r="C57">
        <v>3879657</v>
      </c>
      <c r="D57" t="s">
        <v>42</v>
      </c>
      <c r="E57" t="s">
        <v>47</v>
      </c>
      <c r="F57" t="s">
        <v>89</v>
      </c>
      <c r="G57" t="s">
        <v>47</v>
      </c>
      <c r="H57" t="s">
        <v>494</v>
      </c>
      <c r="I57" t="s">
        <v>243</v>
      </c>
      <c r="J57" t="str">
        <f t="shared" si="31"/>
        <v>4.4963</v>
      </c>
      <c r="K57" t="s">
        <v>32</v>
      </c>
      <c r="L57" t="s">
        <v>33</v>
      </c>
      <c r="M57" t="s">
        <v>31</v>
      </c>
      <c r="N57" t="s">
        <v>298</v>
      </c>
      <c r="O57" t="s">
        <v>44</v>
      </c>
      <c r="P57" s="3">
        <v>14462409.148499999</v>
      </c>
      <c r="Q57" s="3">
        <v>14566988.949999999</v>
      </c>
      <c r="R57" s="4">
        <v>4.4999999999999998E-2</v>
      </c>
      <c r="S57" s="10">
        <f>SUM(P50:P57)</f>
        <v>18813064.129099999</v>
      </c>
      <c r="T57" s="4">
        <v>2.3E-2</v>
      </c>
      <c r="U57" s="4">
        <v>2.1999999999999999E-2</v>
      </c>
      <c r="V57" s="3">
        <v>53103.7716</v>
      </c>
      <c r="W57" s="3">
        <v>27436.051599999999</v>
      </c>
      <c r="X57" s="3">
        <v>25667.72</v>
      </c>
      <c r="Y57" s="3">
        <v>0</v>
      </c>
      <c r="Z57" s="3">
        <v>25667.72</v>
      </c>
      <c r="AA57">
        <v>30</v>
      </c>
      <c r="AB57" t="b">
        <f t="shared" si="33"/>
        <v>1</v>
      </c>
      <c r="AC57" s="10">
        <v>20000000</v>
      </c>
      <c r="AD57" t="s">
        <v>46</v>
      </c>
      <c r="AE57" s="8">
        <v>46155.560022106481</v>
      </c>
      <c r="AF57" s="6">
        <f t="shared" si="34"/>
        <v>0.94065320645499995</v>
      </c>
      <c r="AG57" s="6" t="b">
        <f>+Tabla9[[#This Row],[CUMPLIMIENTO]]&lt;100%</f>
        <v>1</v>
      </c>
      <c r="AH57" s="12">
        <f>((( (Tabla9[[#This Row],[FTP_CIERRE_MES]]/100)+1)^(30/360) -1)*(36000/30))/36000</f>
        <v>1.2239493171416853E-4</v>
      </c>
      <c r="AI57" s="3">
        <f>Tabla9[[#This Row],[FTP_DIARIO]]*Tabla9[[#This Row],[SALDO_PROM_CORREGIDO]]*Tabla9[[#This Row],[DIAS]]</f>
        <v>69078.710982464036</v>
      </c>
      <c r="AJ57" s="3">
        <f>Tabla9[[#This Row],[REAL_FTP_MONTO]]-Tabla9[[#This Row],[INT_REAL]]</f>
        <v>41642.659382464037</v>
      </c>
      <c r="AK57" s="3">
        <f>Tabla9[[#This Row],[FTP_DIARIO]]*Tabla9[[#This Row],[COMPROMISO]]*Tabla9[[#This Row],[DIAS]]</f>
        <v>73436.959028501122</v>
      </c>
      <c r="AL57" s="13">
        <f>((( (Tabla9[[#This Row],[TASA_INT]])+1)^(30/360) -1)*(36000/30))/36000</f>
        <v>6.3225127118945082E-5</v>
      </c>
      <c r="AM57" s="3">
        <f>Tabla9[[#This Row],[TEA DIARIA]]*Tabla9[[#This Row],[SALDO_PROM_CORREGIDO]]*Tabla9[[#This Row],[DIAS]]</f>
        <v>35683.7511317764</v>
      </c>
      <c r="AN57" s="3">
        <f>Tabla9[[#This Row],[TEA DIARIA]]*Tabla9[[#This Row],[COMPROMISO]]*Tabla9[[#This Row],[DIAS]]</f>
        <v>37935.076271367048</v>
      </c>
      <c r="AO57" s="14">
        <f>+Tabla9[[#This Row],[PROYECTADO_FTP_MONTO]]-Tabla9[[#This Row],[PROYECCION_INTERES]]</f>
        <v>35501.882757134073</v>
      </c>
      <c r="AP57" s="3">
        <f>Tabla9[[#This Row],[PROYECCION_MARGEN(FTP - Int compromiso)]]-Tabla9[[#This Row],[REAL_MARGEN(FTP - Int)]]</f>
        <v>-6140.7766253299633</v>
      </c>
    </row>
    <row r="58" spans="1:42" x14ac:dyDescent="0.35">
      <c r="A58">
        <v>202604</v>
      </c>
      <c r="B58" s="7">
        <v>46142</v>
      </c>
      <c r="C58">
        <v>3963816</v>
      </c>
      <c r="D58" t="s">
        <v>36</v>
      </c>
      <c r="E58" t="s">
        <v>38</v>
      </c>
      <c r="F58" t="s">
        <v>90</v>
      </c>
      <c r="G58" t="s">
        <v>38</v>
      </c>
      <c r="H58" t="s">
        <v>501</v>
      </c>
      <c r="I58" t="s">
        <v>243</v>
      </c>
      <c r="J58" t="str">
        <f t="shared" ref="J58" si="35">IF(I58="SOLES","4.4963","3.388")</f>
        <v>4.4963</v>
      </c>
      <c r="K58" t="s">
        <v>32</v>
      </c>
      <c r="L58" t="s">
        <v>33</v>
      </c>
      <c r="M58" t="s">
        <v>31</v>
      </c>
      <c r="N58" t="s">
        <v>299</v>
      </c>
      <c r="O58" t="s">
        <v>44</v>
      </c>
      <c r="P58" s="3">
        <v>52449371.818400003</v>
      </c>
      <c r="Q58" s="3">
        <v>23800334.059999999</v>
      </c>
      <c r="R58" s="4">
        <v>4.4999999999999998E-2</v>
      </c>
      <c r="S58" s="3">
        <f>+Tabla9[[#This Row],[SAL_PROM_SOL]]</f>
        <v>52449371.818400003</v>
      </c>
      <c r="T58" s="4">
        <v>4.3299999999999998E-2</v>
      </c>
      <c r="U58" s="4">
        <v>1.6999999999999999E-3</v>
      </c>
      <c r="V58" s="3">
        <v>192586.11929999999</v>
      </c>
      <c r="W58" s="3">
        <v>185598.14110000001</v>
      </c>
      <c r="X58" s="3">
        <v>6987.9781999999996</v>
      </c>
      <c r="Y58" s="3">
        <v>43.9499</v>
      </c>
      <c r="Z58" s="3">
        <v>6944.0282999999799</v>
      </c>
      <c r="AA58">
        <v>30</v>
      </c>
      <c r="AB58" t="b">
        <f t="shared" ref="AB58:AB74" si="36">+AA58=30</f>
        <v>1</v>
      </c>
      <c r="AC58" s="3">
        <v>50000000</v>
      </c>
      <c r="AD58" t="s">
        <v>46</v>
      </c>
      <c r="AE58" s="8">
        <v>46155.560022106481</v>
      </c>
      <c r="AF58" s="6">
        <f t="shared" si="34"/>
        <v>1.0489874363680001</v>
      </c>
      <c r="AG58" s="6" t="b">
        <f>+Tabla9[[#This Row],[CUMPLIMIENTO]]&lt;100%</f>
        <v>0</v>
      </c>
      <c r="AH58" s="12">
        <f>((( (Tabla9[[#This Row],[FTP_CIERRE_MES]]/100)+1)^(30/360) -1)*(36000/30))/36000</f>
        <v>1.2239493171416853E-4</v>
      </c>
      <c r="AI58" s="3">
        <f>Tabla9[[#This Row],[FTP_DIARIO]]*Tabla9[[#This Row],[SALDO_PROM_CORREGIDO]]*Tabla9[[#This Row],[DIAS]]</f>
        <v>192586.11846492309</v>
      </c>
      <c r="AJ58" s="3">
        <f>Tabla9[[#This Row],[REAL_FTP_MONTO]]-Tabla9[[#This Row],[INT_REAL]]</f>
        <v>6987.9773649230774</v>
      </c>
      <c r="AK58" s="3">
        <f>Tabla9[[#This Row],[FTP_DIARIO]]*Tabla9[[#This Row],[COMPROMISO]]*Tabla9[[#This Row],[DIAS]]</f>
        <v>183592.39757125278</v>
      </c>
      <c r="AL58" s="13">
        <f>((( (Tabla9[[#This Row],[TASA_INT]])+1)^(30/360) -1)*(36000/30))/36000</f>
        <v>1.1795478250885931E-4</v>
      </c>
      <c r="AM58" s="3">
        <f>Tabla9[[#This Row],[TEA DIARIA]]*Tabla9[[#This Row],[SALDO_PROM_CORREGIDO]]*Tabla9[[#This Row],[DIAS]]</f>
        <v>185599.62736697</v>
      </c>
      <c r="AN58" s="3">
        <f>Tabla9[[#This Row],[TEA DIARIA]]*Tabla9[[#This Row],[COMPROMISO]]*Tabla9[[#This Row],[DIAS]]</f>
        <v>176932.17376328894</v>
      </c>
      <c r="AO58" s="14">
        <f>+Tabla9[[#This Row],[PROYECTADO_FTP_MONTO]]-Tabla9[[#This Row],[PROYECCION_INTERES]]</f>
        <v>6660.2238079638337</v>
      </c>
      <c r="AP58" s="3">
        <f>Tabla9[[#This Row],[PROYECCION_MARGEN(FTP - Int compromiso)]]-Tabla9[[#This Row],[REAL_MARGEN(FTP - Int)]]</f>
        <v>-327.75355695924372</v>
      </c>
    </row>
    <row r="59" spans="1:42" x14ac:dyDescent="0.35">
      <c r="A59">
        <v>202604</v>
      </c>
      <c r="B59" s="7">
        <v>46142</v>
      </c>
      <c r="C59">
        <v>4617049</v>
      </c>
      <c r="D59" t="s">
        <v>42</v>
      </c>
      <c r="E59" t="s">
        <v>48</v>
      </c>
      <c r="F59" t="s">
        <v>91</v>
      </c>
      <c r="G59" t="s">
        <v>48</v>
      </c>
      <c r="H59" t="s">
        <v>495</v>
      </c>
      <c r="I59" t="s">
        <v>243</v>
      </c>
      <c r="J59" t="str">
        <f t="shared" ref="J59:J60" si="37">IF(I59="SOLES","4.4963","3.388")</f>
        <v>4.4963</v>
      </c>
      <c r="K59" t="s">
        <v>32</v>
      </c>
      <c r="L59" t="s">
        <v>33</v>
      </c>
      <c r="M59" t="s">
        <v>31</v>
      </c>
      <c r="N59" t="s">
        <v>300</v>
      </c>
      <c r="O59" t="s">
        <v>44</v>
      </c>
      <c r="P59" s="3">
        <v>4113589.1299000001</v>
      </c>
      <c r="Q59" s="3">
        <v>4120062.01</v>
      </c>
      <c r="R59" s="4">
        <v>4.4999999999999998E-2</v>
      </c>
      <c r="S59" s="3">
        <f>+Tabla9[[#This Row],[SAL_PROM_SOL]]</f>
        <v>4113589.1299000001</v>
      </c>
      <c r="T59" s="4">
        <v>0.02</v>
      </c>
      <c r="U59" s="4">
        <v>2.5000000000000001E-2</v>
      </c>
      <c r="V59" s="3">
        <v>15104.468500000001</v>
      </c>
      <c r="W59" s="3">
        <v>6793.5486000000001</v>
      </c>
      <c r="X59" s="3">
        <v>8310.9199000000008</v>
      </c>
      <c r="Y59" s="3">
        <v>4.9509999999999996</v>
      </c>
      <c r="Z59" s="3">
        <v>8305.9688999999998</v>
      </c>
      <c r="AA59">
        <v>30</v>
      </c>
      <c r="AB59" t="b">
        <f t="shared" si="36"/>
        <v>1</v>
      </c>
      <c r="AC59" s="3">
        <v>4500000</v>
      </c>
      <c r="AD59" t="s">
        <v>46</v>
      </c>
      <c r="AE59" s="8">
        <v>46155.560022106481</v>
      </c>
      <c r="AF59" s="6">
        <f t="shared" ref="AF59:AF60" si="38">S59/AC59</f>
        <v>0.91413091775555555</v>
      </c>
      <c r="AG59" s="6" t="b">
        <f>+Tabla9[[#This Row],[CUMPLIMIENTO]]&lt;100%</f>
        <v>1</v>
      </c>
      <c r="AH59" s="12">
        <f>((( (Tabla9[[#This Row],[FTP_CIERRE_MES]]/100)+1)^(30/360) -1)*(36000/30))/36000</f>
        <v>1.2239493171416853E-4</v>
      </c>
      <c r="AI59" s="3">
        <f>Tabla9[[#This Row],[FTP_DIARIO]]*Tabla9[[#This Row],[SALDO_PROM_CORREGIDO]]*Tabla9[[#This Row],[DIAS]]</f>
        <v>15104.473819627694</v>
      </c>
      <c r="AJ59" s="3">
        <f>Tabla9[[#This Row],[REAL_FTP_MONTO]]-Tabla9[[#This Row],[INT_REAL]]</f>
        <v>8310.9252196276939</v>
      </c>
      <c r="AK59" s="3">
        <f>Tabla9[[#This Row],[FTP_DIARIO]]*Tabla9[[#This Row],[COMPROMISO]]*Tabla9[[#This Row],[DIAS]]</f>
        <v>16523.315781412752</v>
      </c>
      <c r="AL59" s="13">
        <f>((( (Tabla9[[#This Row],[TASA_INT]])+1)^(30/360) -1)*(36000/30))/36000</f>
        <v>5.5052710064007471E-5</v>
      </c>
      <c r="AM59" s="3">
        <f>Tabla9[[#This Row],[TEA DIARIA]]*Tabla9[[#This Row],[SALDO_PROM_CORREGIDO]]*Tabla9[[#This Row],[DIAS]]</f>
        <v>6793.9268907251244</v>
      </c>
      <c r="AN59" s="3">
        <f>Tabla9[[#This Row],[TEA DIARIA]]*Tabla9[[#This Row],[COMPROMISO]]*Tabla9[[#This Row],[DIAS]]</f>
        <v>7432.1158586410083</v>
      </c>
      <c r="AO59" s="14">
        <f>+Tabla9[[#This Row],[PROYECTADO_FTP_MONTO]]-Tabla9[[#This Row],[PROYECCION_INTERES]]</f>
        <v>9091.1999227717424</v>
      </c>
      <c r="AP59" s="3">
        <f>Tabla9[[#This Row],[PROYECCION_MARGEN(FTP - Int compromiso)]]-Tabla9[[#This Row],[REAL_MARGEN(FTP - Int)]]</f>
        <v>780.27470314404854</v>
      </c>
    </row>
    <row r="60" spans="1:42" x14ac:dyDescent="0.35">
      <c r="A60">
        <v>202604</v>
      </c>
      <c r="B60" s="7">
        <v>46142</v>
      </c>
      <c r="C60">
        <v>4617049</v>
      </c>
      <c r="D60" t="s">
        <v>42</v>
      </c>
      <c r="E60" t="s">
        <v>48</v>
      </c>
      <c r="F60" t="s">
        <v>91</v>
      </c>
      <c r="G60" t="s">
        <v>48</v>
      </c>
      <c r="H60" t="s">
        <v>495</v>
      </c>
      <c r="I60" t="s">
        <v>243</v>
      </c>
      <c r="J60" t="str">
        <f t="shared" si="37"/>
        <v>4.4963</v>
      </c>
      <c r="K60" t="s">
        <v>32</v>
      </c>
      <c r="L60" t="s">
        <v>33</v>
      </c>
      <c r="M60" t="s">
        <v>31</v>
      </c>
      <c r="N60" t="s">
        <v>301</v>
      </c>
      <c r="O60" t="s">
        <v>44</v>
      </c>
      <c r="P60" s="3">
        <v>473539.891</v>
      </c>
      <c r="Q60" s="3">
        <v>469729.5</v>
      </c>
      <c r="R60" s="4">
        <v>4.4999999999999998E-2</v>
      </c>
      <c r="S60" s="3">
        <f>+Tabla9[[#This Row],[SAL_PROM_SOL]]</f>
        <v>473539.891</v>
      </c>
      <c r="T60" s="4">
        <v>0.02</v>
      </c>
      <c r="U60" s="4">
        <v>2.5000000000000001E-2</v>
      </c>
      <c r="V60" s="3">
        <v>1738.7701</v>
      </c>
      <c r="W60" s="3">
        <v>782.04989999999998</v>
      </c>
      <c r="X60" s="3">
        <v>956.72019999999998</v>
      </c>
      <c r="Y60" s="3">
        <v>0</v>
      </c>
      <c r="Z60" s="3">
        <v>956.72019999999998</v>
      </c>
      <c r="AA60">
        <v>30</v>
      </c>
      <c r="AB60" t="b">
        <f t="shared" si="36"/>
        <v>1</v>
      </c>
      <c r="AC60" s="3">
        <v>500000</v>
      </c>
      <c r="AD60" t="s">
        <v>46</v>
      </c>
      <c r="AE60" s="8">
        <v>46155.560022106481</v>
      </c>
      <c r="AF60" s="6">
        <f t="shared" si="38"/>
        <v>0.94707978199999998</v>
      </c>
      <c r="AG60" s="6" t="b">
        <f>+Tabla9[[#This Row],[CUMPLIMIENTO]]&lt;100%</f>
        <v>1</v>
      </c>
      <c r="AH60" s="12">
        <f>((( (Tabla9[[#This Row],[FTP_CIERRE_MES]]/100)+1)^(30/360) -1)*(36000/30))/36000</f>
        <v>1.2239493171416853E-4</v>
      </c>
      <c r="AI60" s="3">
        <f>Tabla9[[#This Row],[FTP_DIARIO]]*Tabla9[[#This Row],[SALDO_PROM_CORREGIDO]]*Tabla9[[#This Row],[DIAS]]</f>
        <v>1738.7664786863941</v>
      </c>
      <c r="AJ60" s="3">
        <f>Tabla9[[#This Row],[REAL_FTP_MONTO]]-Tabla9[[#This Row],[INT_REAL]]</f>
        <v>956.71657868639409</v>
      </c>
      <c r="AK60" s="3">
        <f>Tabla9[[#This Row],[FTP_DIARIO]]*Tabla9[[#This Row],[COMPROMISO]]*Tabla9[[#This Row],[DIAS]]</f>
        <v>1835.9239757125279</v>
      </c>
      <c r="AL60" s="13">
        <f>((( (Tabla9[[#This Row],[TASA_INT]])+1)^(30/360) -1)*(36000/30))/36000</f>
        <v>5.5052710064007471E-5</v>
      </c>
      <c r="AM60" s="3">
        <f>Tabla9[[#This Row],[TEA DIARIA]]*Tabla9[[#This Row],[SALDO_PROM_CORREGIDO]]*Tabla9[[#This Row],[DIAS]]</f>
        <v>782.08962968894105</v>
      </c>
      <c r="AN60" s="3">
        <f>Tabla9[[#This Row],[TEA DIARIA]]*Tabla9[[#This Row],[COMPROMISO]]*Tabla9[[#This Row],[DIAS]]</f>
        <v>825.79065096011209</v>
      </c>
      <c r="AO60" s="14">
        <f>+Tabla9[[#This Row],[PROYECTADO_FTP_MONTO]]-Tabla9[[#This Row],[PROYECCION_INTERES]]</f>
        <v>1010.1333247524158</v>
      </c>
      <c r="AP60" s="3">
        <f>Tabla9[[#This Row],[PROYECCION_MARGEN(FTP - Int compromiso)]]-Tabla9[[#This Row],[REAL_MARGEN(FTP - Int)]]</f>
        <v>53.416746066021688</v>
      </c>
    </row>
    <row r="61" spans="1:42" x14ac:dyDescent="0.35">
      <c r="A61">
        <v>202604</v>
      </c>
      <c r="B61" s="7">
        <v>46142</v>
      </c>
      <c r="C61">
        <v>5149174</v>
      </c>
      <c r="D61" t="s">
        <v>29</v>
      </c>
      <c r="E61" t="s">
        <v>40</v>
      </c>
      <c r="F61" t="s">
        <v>92</v>
      </c>
      <c r="G61" t="s">
        <v>40</v>
      </c>
      <c r="H61" t="s">
        <v>502</v>
      </c>
      <c r="I61" t="s">
        <v>244</v>
      </c>
      <c r="J61" t="str">
        <f t="shared" ref="J61" si="39">IF(I61="SOLES","4.4963","3.388")</f>
        <v>3.388</v>
      </c>
      <c r="K61" t="s">
        <v>32</v>
      </c>
      <c r="L61" t="s">
        <v>33</v>
      </c>
      <c r="M61" t="s">
        <v>34</v>
      </c>
      <c r="N61" t="s">
        <v>302</v>
      </c>
      <c r="O61" t="s">
        <v>44</v>
      </c>
      <c r="P61" s="3">
        <v>2463491.7371999999</v>
      </c>
      <c r="Q61" s="3">
        <v>924907.16639999999</v>
      </c>
      <c r="R61" s="4">
        <v>3.39E-2</v>
      </c>
      <c r="S61" s="3">
        <f>+Tabla9[[#This Row],[SAL_PROM_SOL]]</f>
        <v>2463491.7371999999</v>
      </c>
      <c r="T61" s="4">
        <v>1.95E-2</v>
      </c>
      <c r="U61" s="4">
        <v>1.44E-2</v>
      </c>
      <c r="V61" s="3">
        <v>6849.5385999999999</v>
      </c>
      <c r="W61" s="3">
        <v>3959.2777999999998</v>
      </c>
      <c r="X61" s="3">
        <v>2890.2608</v>
      </c>
      <c r="Y61" s="3">
        <v>42.28</v>
      </c>
      <c r="Z61" s="3">
        <v>2847.9807999999998</v>
      </c>
      <c r="AA61">
        <v>30</v>
      </c>
      <c r="AB61" t="b">
        <f t="shared" si="36"/>
        <v>1</v>
      </c>
      <c r="AC61" s="3">
        <v>500000</v>
      </c>
      <c r="AD61" t="s">
        <v>46</v>
      </c>
      <c r="AE61" s="8">
        <v>46155.560022106481</v>
      </c>
      <c r="AF61" s="6">
        <f t="shared" ref="AF61" si="40">S61/AC61</f>
        <v>4.9269834744000001</v>
      </c>
      <c r="AG61" s="6" t="b">
        <f>+Tabla9[[#This Row],[CUMPLIMIENTO]]&lt;100%</f>
        <v>0</v>
      </c>
      <c r="AH61" s="12">
        <f>((( (Tabla9[[#This Row],[FTP_CIERRE_MES]]/100)+1)^(30/360) -1)*(36000/30))/36000</f>
        <v>9.2680593701059222E-5</v>
      </c>
      <c r="AI61" s="3">
        <f>Tabla9[[#This Row],[FTP_DIARIO]]*Tabla9[[#This Row],[SALDO_PROM_CORREGIDO]]*Tabla9[[#This Row],[DIAS]]</f>
        <v>6849.5363034404927</v>
      </c>
      <c r="AJ61" s="3">
        <f>Tabla9[[#This Row],[REAL_FTP_MONTO]]-Tabla9[[#This Row],[INT_REAL]]</f>
        <v>2890.2585034404929</v>
      </c>
      <c r="AK61" s="3">
        <f>Tabla9[[#This Row],[FTP_DIARIO]]*Tabla9[[#This Row],[COMPROMISO]]*Tabla9[[#This Row],[DIAS]]</f>
        <v>1390.2089055158883</v>
      </c>
      <c r="AL61" s="13">
        <f>((( (Tabla9[[#This Row],[TASA_INT]])+1)^(30/360) -1)*(36000/30))/36000</f>
        <v>5.3688498876539964E-5</v>
      </c>
      <c r="AM61" s="3">
        <f>Tabla9[[#This Row],[TEA DIARIA]]*Tabla9[[#This Row],[SALDO_PROM_CORREGIDO]]*Tabla9[[#This Row],[DIAS]]</f>
        <v>3967.8352009508303</v>
      </c>
      <c r="AN61" s="3">
        <f>Tabla9[[#This Row],[TEA DIARIA]]*Tabla9[[#This Row],[COMPROMISO]]*Tabla9[[#This Row],[DIAS]]</f>
        <v>805.32748314809953</v>
      </c>
      <c r="AO61" s="14">
        <f>+Tabla9[[#This Row],[PROYECTADO_FTP_MONTO]]-Tabla9[[#This Row],[PROYECCION_INTERES]]</f>
        <v>584.88142236778879</v>
      </c>
      <c r="AP61" s="3">
        <f>Tabla9[[#This Row],[PROYECCION_MARGEN(FTP - Int compromiso)]]-Tabla9[[#This Row],[REAL_MARGEN(FTP - Int)]]</f>
        <v>-2305.3770810727042</v>
      </c>
    </row>
    <row r="62" spans="1:42" x14ac:dyDescent="0.35">
      <c r="A62">
        <v>202604</v>
      </c>
      <c r="B62" s="7">
        <v>46142</v>
      </c>
      <c r="C62">
        <v>5381249</v>
      </c>
      <c r="D62" t="s">
        <v>29</v>
      </c>
      <c r="E62" t="s">
        <v>40</v>
      </c>
      <c r="F62" t="s">
        <v>93</v>
      </c>
      <c r="G62" t="s">
        <v>40</v>
      </c>
      <c r="H62" t="s">
        <v>503</v>
      </c>
      <c r="I62" t="s">
        <v>243</v>
      </c>
      <c r="J62" t="str">
        <f t="shared" ref="J62" si="41">IF(I62="SOLES","4.4963","3.388")</f>
        <v>4.4963</v>
      </c>
      <c r="K62" t="s">
        <v>32</v>
      </c>
      <c r="L62" t="s">
        <v>33</v>
      </c>
      <c r="M62" t="s">
        <v>31</v>
      </c>
      <c r="N62" t="s">
        <v>270</v>
      </c>
      <c r="O62" t="s">
        <v>44</v>
      </c>
      <c r="P62" s="3">
        <v>21044880.410799999</v>
      </c>
      <c r="Q62" s="3">
        <v>21111831.93</v>
      </c>
      <c r="R62" s="4">
        <v>4.4999999999999998E-2</v>
      </c>
      <c r="S62" s="3">
        <f>+Tabla9[[#This Row],[SAL_PROM_SOL]]</f>
        <v>21044880.410799999</v>
      </c>
      <c r="T62" s="4">
        <v>0.04</v>
      </c>
      <c r="U62" s="4">
        <v>5.0000000000000001E-3</v>
      </c>
      <c r="V62" s="3">
        <v>77273.600600000005</v>
      </c>
      <c r="W62" s="3">
        <v>68887.960600000006</v>
      </c>
      <c r="X62" s="3">
        <v>8385.64</v>
      </c>
      <c r="Y62" s="3">
        <v>43.9499</v>
      </c>
      <c r="Z62" s="3">
        <v>8341.6900999999998</v>
      </c>
      <c r="AA62">
        <v>30</v>
      </c>
      <c r="AB62" t="b">
        <f t="shared" si="36"/>
        <v>1</v>
      </c>
      <c r="AC62" s="3">
        <v>21000000</v>
      </c>
      <c r="AD62" t="s">
        <v>46</v>
      </c>
      <c r="AE62" s="8">
        <v>46155.560022106481</v>
      </c>
      <c r="AF62" s="6">
        <f t="shared" ref="AF62" si="42">S62/AC62</f>
        <v>1.0021371624190476</v>
      </c>
      <c r="AG62" s="6" t="b">
        <f>+Tabla9[[#This Row],[CUMPLIMIENTO]]&lt;100%</f>
        <v>0</v>
      </c>
      <c r="AH62" s="12">
        <f>((( (Tabla9[[#This Row],[FTP_CIERRE_MES]]/100)+1)^(30/360) -1)*(36000/30))/36000</f>
        <v>1.2239493171416853E-4</v>
      </c>
      <c r="AI62" s="3">
        <f>Tabla9[[#This Row],[FTP_DIARIO]]*Tabla9[[#This Row],[SALDO_PROM_CORREGIDO]]*Tabla9[[#This Row],[DIAS]]</f>
        <v>77273.601024381263</v>
      </c>
      <c r="AJ62" s="3">
        <f>Tabla9[[#This Row],[REAL_FTP_MONTO]]-Tabla9[[#This Row],[INT_REAL]]</f>
        <v>8385.6404243812576</v>
      </c>
      <c r="AK62" s="3">
        <f>Tabla9[[#This Row],[FTP_DIARIO]]*Tabla9[[#This Row],[COMPROMISO]]*Tabla9[[#This Row],[DIAS]]</f>
        <v>77108.806979926172</v>
      </c>
      <c r="AL62" s="13">
        <f>((( (Tabla9[[#This Row],[TASA_INT]])+1)^(30/360) -1)*(36000/30))/36000</f>
        <v>1.0912465940663049E-4</v>
      </c>
      <c r="AM62" s="3">
        <f>Tabla9[[#This Row],[TEA DIARIA]]*Tabla9[[#This Row],[SALDO_PROM_CORREGIDO]]*Tabla9[[#This Row],[DIAS]]</f>
        <v>68895.4622124546</v>
      </c>
      <c r="AN62" s="3">
        <f>Tabla9[[#This Row],[TEA DIARIA]]*Tabla9[[#This Row],[COMPROMISO]]*Tabla9[[#This Row],[DIAS]]</f>
        <v>68748.535426177215</v>
      </c>
      <c r="AO62" s="14">
        <f>+Tabla9[[#This Row],[PROYECTADO_FTP_MONTO]]-Tabla9[[#This Row],[PROYECCION_INTERES]]</f>
        <v>8360.2715537489566</v>
      </c>
      <c r="AP62" s="3">
        <f>Tabla9[[#This Row],[PROYECCION_MARGEN(FTP - Int compromiso)]]-Tabla9[[#This Row],[REAL_MARGEN(FTP - Int)]]</f>
        <v>-25.368870632300968</v>
      </c>
    </row>
    <row r="63" spans="1:42" x14ac:dyDescent="0.35">
      <c r="A63">
        <v>202604</v>
      </c>
      <c r="B63" s="7">
        <v>46142</v>
      </c>
      <c r="C63">
        <v>5600044</v>
      </c>
      <c r="D63" t="s">
        <v>36</v>
      </c>
      <c r="E63" t="s">
        <v>37</v>
      </c>
      <c r="F63" t="s">
        <v>94</v>
      </c>
      <c r="G63" t="s">
        <v>37</v>
      </c>
      <c r="H63" t="s">
        <v>491</v>
      </c>
      <c r="I63" t="s">
        <v>244</v>
      </c>
      <c r="J63" t="str">
        <f t="shared" ref="J63:J64" si="43">IF(I63="SOLES","4.4963","3.388")</f>
        <v>3.388</v>
      </c>
      <c r="K63" t="s">
        <v>32</v>
      </c>
      <c r="L63" t="s">
        <v>33</v>
      </c>
      <c r="M63" t="s">
        <v>34</v>
      </c>
      <c r="N63" t="s">
        <v>303</v>
      </c>
      <c r="O63" t="s">
        <v>44</v>
      </c>
      <c r="P63" s="3">
        <v>42355.923699999999</v>
      </c>
      <c r="Q63" s="3">
        <v>43213.59</v>
      </c>
      <c r="R63" s="4">
        <v>3.39E-2</v>
      </c>
      <c r="S63" s="3">
        <f>+Tabla9[[#This Row],[SAL_PROM_SOL]]</f>
        <v>42355.923699999999</v>
      </c>
      <c r="T63" s="4">
        <v>0</v>
      </c>
      <c r="U63" s="4">
        <v>3.39E-2</v>
      </c>
      <c r="V63" s="3">
        <v>117.75060000000001</v>
      </c>
      <c r="W63" s="3">
        <v>0</v>
      </c>
      <c r="X63" s="3">
        <v>117.75060000000001</v>
      </c>
      <c r="Y63" s="3">
        <v>0</v>
      </c>
      <c r="Z63" s="3">
        <v>117.75060000000001</v>
      </c>
      <c r="AA63">
        <v>30</v>
      </c>
      <c r="AB63" t="b">
        <f t="shared" si="36"/>
        <v>1</v>
      </c>
      <c r="AC63" s="3">
        <v>300000</v>
      </c>
      <c r="AD63" t="s">
        <v>45</v>
      </c>
      <c r="AE63" s="8">
        <v>46155.560022106481</v>
      </c>
      <c r="AF63" s="6">
        <f t="shared" ref="AF63:AF64" si="44">S63/AC63</f>
        <v>0.14118641233333334</v>
      </c>
      <c r="AG63" s="6" t="b">
        <f>+Tabla9[[#This Row],[CUMPLIMIENTO]]&lt;100%</f>
        <v>1</v>
      </c>
      <c r="AH63" s="12">
        <f>((( (Tabla9[[#This Row],[FTP_CIERRE_MES]]/100)+1)^(30/360) -1)*(36000/30))/36000</f>
        <v>9.2680593701059222E-5</v>
      </c>
      <c r="AI63" s="3">
        <f>Tabla9[[#This Row],[FTP_DIARIO]]*Tabla9[[#This Row],[SALDO_PROM_CORREGIDO]]*Tabla9[[#This Row],[DIAS]]</f>
        <v>117.76716465818295</v>
      </c>
      <c r="AJ63" s="3">
        <f>Tabla9[[#This Row],[REAL_FTP_MONTO]]-Tabla9[[#This Row],[INT_REAL]]</f>
        <v>117.76716465818295</v>
      </c>
      <c r="AK63" s="3">
        <f>Tabla9[[#This Row],[FTP_DIARIO]]*Tabla9[[#This Row],[COMPROMISO]]*Tabla9[[#This Row],[DIAS]]</f>
        <v>834.12534330953304</v>
      </c>
      <c r="AL63" s="13">
        <f>((( (Tabla9[[#This Row],[TASA_INT]])+1)^(30/360) -1)*(36000/30))/36000</f>
        <v>0</v>
      </c>
      <c r="AM63" s="3">
        <f>Tabla9[[#This Row],[TEA DIARIA]]*Tabla9[[#This Row],[SALDO_PROM_CORREGIDO]]*Tabla9[[#This Row],[DIAS]]</f>
        <v>0</v>
      </c>
      <c r="AN63" s="3">
        <f>Tabla9[[#This Row],[TEA DIARIA]]*Tabla9[[#This Row],[COMPROMISO]]*Tabla9[[#This Row],[DIAS]]</f>
        <v>0</v>
      </c>
      <c r="AO63" s="14">
        <f>+Tabla9[[#This Row],[PROYECTADO_FTP_MONTO]]-Tabla9[[#This Row],[PROYECCION_INTERES]]</f>
        <v>834.12534330953304</v>
      </c>
      <c r="AP63" s="3">
        <f>Tabla9[[#This Row],[PROYECCION_MARGEN(FTP - Int compromiso)]]-Tabla9[[#This Row],[REAL_MARGEN(FTP - Int)]]</f>
        <v>716.35817865135004</v>
      </c>
    </row>
    <row r="64" spans="1:42" x14ac:dyDescent="0.35">
      <c r="A64">
        <v>202604</v>
      </c>
      <c r="B64" s="7">
        <v>46142</v>
      </c>
      <c r="C64">
        <v>5600044</v>
      </c>
      <c r="D64" t="s">
        <v>36</v>
      </c>
      <c r="E64" t="s">
        <v>37</v>
      </c>
      <c r="F64" t="s">
        <v>94</v>
      </c>
      <c r="G64" t="s">
        <v>37</v>
      </c>
      <c r="H64" t="s">
        <v>491</v>
      </c>
      <c r="I64" t="s">
        <v>243</v>
      </c>
      <c r="J64" t="str">
        <f t="shared" si="43"/>
        <v>4.4963</v>
      </c>
      <c r="K64" t="s">
        <v>32</v>
      </c>
      <c r="L64" t="s">
        <v>33</v>
      </c>
      <c r="M64" t="s">
        <v>31</v>
      </c>
      <c r="N64" t="s">
        <v>304</v>
      </c>
      <c r="O64" t="s">
        <v>44</v>
      </c>
      <c r="P64" s="3">
        <v>5817120.8806999996</v>
      </c>
      <c r="Q64" s="3">
        <v>975816.19</v>
      </c>
      <c r="R64" s="4">
        <v>4.4999999999999998E-2</v>
      </c>
      <c r="S64" s="3">
        <f>+Tabla9[[#This Row],[SAL_PROM_SOL]]</f>
        <v>5817120.8806999996</v>
      </c>
      <c r="T64" s="4">
        <v>4.8999999999999998E-3</v>
      </c>
      <c r="U64" s="4">
        <v>4.0099999999999997E-2</v>
      </c>
      <c r="V64" s="3">
        <v>21359.580099999999</v>
      </c>
      <c r="W64" s="3">
        <v>2374.0001000000002</v>
      </c>
      <c r="X64" s="3">
        <v>18985.580000000002</v>
      </c>
      <c r="Y64" s="3">
        <v>43.9499</v>
      </c>
      <c r="Z64" s="3">
        <v>18941.630099999998</v>
      </c>
      <c r="AA64">
        <v>30</v>
      </c>
      <c r="AB64" t="b">
        <f t="shared" si="36"/>
        <v>1</v>
      </c>
      <c r="AC64" s="3">
        <v>2000000</v>
      </c>
      <c r="AD64" t="s">
        <v>45</v>
      </c>
      <c r="AE64" s="8">
        <v>46155.560022106481</v>
      </c>
      <c r="AF64" s="6">
        <f t="shared" si="44"/>
        <v>2.9085604403499996</v>
      </c>
      <c r="AG64" s="6" t="b">
        <f>+Tabla9[[#This Row],[CUMPLIMIENTO]]&lt;100%</f>
        <v>0</v>
      </c>
      <c r="AH64" s="12">
        <f>((( (Tabla9[[#This Row],[FTP_CIERRE_MES]]/100)+1)^(30/360) -1)*(36000/30))/36000</f>
        <v>1.2239493171416853E-4</v>
      </c>
      <c r="AI64" s="3">
        <f>Tabla9[[#This Row],[FTP_DIARIO]]*Tabla9[[#This Row],[SALDO_PROM_CORREGIDO]]*Tabla9[[#This Row],[DIAS]]</f>
        <v>21359.58338899021</v>
      </c>
      <c r="AJ64" s="3">
        <f>Tabla9[[#This Row],[REAL_FTP_MONTO]]-Tabla9[[#This Row],[INT_REAL]]</f>
        <v>18985.583288990209</v>
      </c>
      <c r="AK64" s="3">
        <f>Tabla9[[#This Row],[FTP_DIARIO]]*Tabla9[[#This Row],[COMPROMISO]]*Tabla9[[#This Row],[DIAS]]</f>
        <v>7343.6959028501115</v>
      </c>
      <c r="AL64" s="13">
        <f>((( (Tabla9[[#This Row],[TASA_INT]])+1)^(30/360) -1)*(36000/30))/36000</f>
        <v>1.3580638179185496E-5</v>
      </c>
      <c r="AM64" s="3">
        <f>Tabla9[[#This Row],[TEA DIARIA]]*Tabla9[[#This Row],[SALDO_PROM_CORREGIDO]]*Tabla9[[#This Row],[DIAS]]</f>
        <v>2370.0064177611471</v>
      </c>
      <c r="AN64" s="3">
        <f>Tabla9[[#This Row],[TEA DIARIA]]*Tabla9[[#This Row],[COMPROMISO]]*Tabla9[[#This Row],[DIAS]]</f>
        <v>814.83829075112976</v>
      </c>
      <c r="AO64" s="14">
        <f>+Tabla9[[#This Row],[PROYECTADO_FTP_MONTO]]-Tabla9[[#This Row],[PROYECCION_INTERES]]</f>
        <v>6528.8576120989819</v>
      </c>
      <c r="AP64" s="3">
        <f>Tabla9[[#This Row],[PROYECCION_MARGEN(FTP - Int compromiso)]]-Tabla9[[#This Row],[REAL_MARGEN(FTP - Int)]]</f>
        <v>-12456.725676891227</v>
      </c>
    </row>
    <row r="65" spans="1:42" x14ac:dyDescent="0.35">
      <c r="A65">
        <v>202604</v>
      </c>
      <c r="B65" s="7">
        <v>46142</v>
      </c>
      <c r="C65">
        <v>5765300</v>
      </c>
      <c r="D65" t="s">
        <v>36</v>
      </c>
      <c r="E65" t="s">
        <v>38</v>
      </c>
      <c r="F65" t="s">
        <v>50</v>
      </c>
      <c r="G65" t="s">
        <v>38</v>
      </c>
      <c r="H65" t="s">
        <v>501</v>
      </c>
      <c r="I65" t="s">
        <v>243</v>
      </c>
      <c r="J65" t="str">
        <f t="shared" ref="J65" si="45">IF(I65="SOLES","4.4963","3.388")</f>
        <v>4.4963</v>
      </c>
      <c r="K65" t="s">
        <v>32</v>
      </c>
      <c r="L65" t="s">
        <v>33</v>
      </c>
      <c r="M65" t="s">
        <v>31</v>
      </c>
      <c r="N65" t="s">
        <v>305</v>
      </c>
      <c r="O65" t="s">
        <v>44</v>
      </c>
      <c r="P65" s="3">
        <v>30082193.988299999</v>
      </c>
      <c r="Q65" s="3">
        <v>40106422.880000003</v>
      </c>
      <c r="R65" s="4">
        <v>4.4999999999999998E-2</v>
      </c>
      <c r="S65" s="3">
        <f>+Tabla9[[#This Row],[SAL_PROM_SOL]]</f>
        <v>30082193.988299999</v>
      </c>
      <c r="T65" s="4">
        <v>4.2200000000000001E-2</v>
      </c>
      <c r="U65" s="4">
        <v>2.8E-3</v>
      </c>
      <c r="V65" s="3">
        <v>110457.2415</v>
      </c>
      <c r="W65" s="3">
        <v>103908.9584</v>
      </c>
      <c r="X65" s="3">
        <v>6548.2830999999996</v>
      </c>
      <c r="Y65" s="3">
        <v>43.9499</v>
      </c>
      <c r="Z65" s="3">
        <v>6504.3332</v>
      </c>
      <c r="AA65">
        <v>30</v>
      </c>
      <c r="AB65" t="b">
        <f t="shared" si="36"/>
        <v>1</v>
      </c>
      <c r="AC65" s="3">
        <v>20000000</v>
      </c>
      <c r="AD65" t="s">
        <v>46</v>
      </c>
      <c r="AE65" s="8">
        <v>46155.560022106481</v>
      </c>
      <c r="AF65" s="6">
        <f t="shared" ref="AF65" si="46">S65/AC65</f>
        <v>1.5041096994150001</v>
      </c>
      <c r="AG65" s="6" t="b">
        <f>+Tabla9[[#This Row],[CUMPLIMIENTO]]&lt;100%</f>
        <v>0</v>
      </c>
      <c r="AH65" s="12">
        <f>((( (Tabla9[[#This Row],[FTP_CIERRE_MES]]/100)+1)^(30/360) -1)*(36000/30))/36000</f>
        <v>1.2239493171416853E-4</v>
      </c>
      <c r="AI65" s="3">
        <f>Tabla9[[#This Row],[FTP_DIARIO]]*Tabla9[[#This Row],[SALDO_PROM_CORREGIDO]]*Tabla9[[#This Row],[DIAS]]</f>
        <v>110457.24237031049</v>
      </c>
      <c r="AJ65" s="3">
        <f>Tabla9[[#This Row],[REAL_FTP_MONTO]]-Tabla9[[#This Row],[INT_REAL]]</f>
        <v>6548.2839703104837</v>
      </c>
      <c r="AK65" s="3">
        <f>Tabla9[[#This Row],[FTP_DIARIO]]*Tabla9[[#This Row],[COMPROMISO]]*Tabla9[[#This Row],[DIAS]]</f>
        <v>73436.959028501122</v>
      </c>
      <c r="AL65" s="13">
        <f>((( (Tabla9[[#This Row],[TASA_INT]])+1)^(30/360) -1)*(36000/30))/36000</f>
        <v>1.1501425641387748E-4</v>
      </c>
      <c r="AM65" s="3">
        <f>Tabla9[[#This Row],[TEA DIARIA]]*Tabla9[[#This Row],[SALDO_PROM_CORREGIDO]]*Tabla9[[#This Row],[DIAS]]</f>
        <v>103796.4351858702</v>
      </c>
      <c r="AN65" s="3">
        <f>Tabla9[[#This Row],[TEA DIARIA]]*Tabla9[[#This Row],[COMPROMISO]]*Tabla9[[#This Row],[DIAS]]</f>
        <v>69008.553848326483</v>
      </c>
      <c r="AO65" s="14">
        <f>+Tabla9[[#This Row],[PROYECTADO_FTP_MONTO]]-Tabla9[[#This Row],[PROYECCION_INTERES]]</f>
        <v>4428.4051801746391</v>
      </c>
      <c r="AP65" s="3">
        <f>Tabla9[[#This Row],[PROYECCION_MARGEN(FTP - Int compromiso)]]-Tabla9[[#This Row],[REAL_MARGEN(FTP - Int)]]</f>
        <v>-2119.8787901358446</v>
      </c>
    </row>
    <row r="66" spans="1:42" x14ac:dyDescent="0.35">
      <c r="A66">
        <v>202604</v>
      </c>
      <c r="B66" s="7">
        <v>46142</v>
      </c>
      <c r="C66">
        <v>6020341</v>
      </c>
      <c r="D66" t="s">
        <v>42</v>
      </c>
      <c r="E66" t="s">
        <v>48</v>
      </c>
      <c r="F66" t="s">
        <v>95</v>
      </c>
      <c r="G66" t="s">
        <v>48</v>
      </c>
      <c r="H66" t="s">
        <v>497</v>
      </c>
      <c r="I66" t="s">
        <v>243</v>
      </c>
      <c r="J66" t="str">
        <f t="shared" ref="J66:J68" si="47">IF(I66="SOLES","4.4963","3.388")</f>
        <v>4.4963</v>
      </c>
      <c r="K66" t="s">
        <v>32</v>
      </c>
      <c r="L66" t="s">
        <v>33</v>
      </c>
      <c r="M66" t="s">
        <v>31</v>
      </c>
      <c r="N66" t="s">
        <v>306</v>
      </c>
      <c r="O66" t="s">
        <v>44</v>
      </c>
      <c r="P66" s="3">
        <v>1710244.9501</v>
      </c>
      <c r="Q66" s="3">
        <v>4845820.13</v>
      </c>
      <c r="R66" s="4">
        <v>4.4999999999999998E-2</v>
      </c>
      <c r="S66" s="3">
        <f>+Tabla9[[#This Row],[SAL_PROM_SOL]]</f>
        <v>1710244.9501</v>
      </c>
      <c r="T66" s="4">
        <v>1.7100000000000001E-2</v>
      </c>
      <c r="U66" s="4">
        <v>2.7900000000000001E-2</v>
      </c>
      <c r="V66" s="3">
        <v>6279.76</v>
      </c>
      <c r="W66" s="3">
        <v>2415.6088</v>
      </c>
      <c r="X66" s="3">
        <v>3864.1511999999998</v>
      </c>
      <c r="Y66" s="3">
        <v>0</v>
      </c>
      <c r="Z66" s="3">
        <v>3864.1511999999998</v>
      </c>
      <c r="AA66">
        <v>30</v>
      </c>
      <c r="AB66" t="b">
        <f t="shared" si="36"/>
        <v>1</v>
      </c>
      <c r="AC66" s="3">
        <v>10000000</v>
      </c>
      <c r="AD66" t="s">
        <v>46</v>
      </c>
      <c r="AE66" s="8">
        <v>46155.560022106481</v>
      </c>
      <c r="AF66" s="6">
        <f t="shared" ref="AF66" si="48">S66/AC66</f>
        <v>0.17102449501</v>
      </c>
      <c r="AG66" s="6" t="b">
        <f>+Tabla9[[#This Row],[CUMPLIMIENTO]]&lt;100%</f>
        <v>1</v>
      </c>
      <c r="AH66" s="12">
        <f>((( (Tabla9[[#This Row],[FTP_CIERRE_MES]]/100)+1)^(30/360) -1)*(36000/30))/36000</f>
        <v>1.2239493171416853E-4</v>
      </c>
      <c r="AI66" s="3">
        <f>Tabla9[[#This Row],[FTP_DIARIO]]*Tabla9[[#This Row],[SALDO_PROM_CORREGIDO]]*Tabla9[[#This Row],[DIAS]]</f>
        <v>6279.7594164597322</v>
      </c>
      <c r="AJ66" s="3">
        <f>Tabla9[[#This Row],[REAL_FTP_MONTO]]-Tabla9[[#This Row],[INT_REAL]]</f>
        <v>3864.1506164597322</v>
      </c>
      <c r="AK66" s="3">
        <f>Tabla9[[#This Row],[FTP_DIARIO]]*Tabla9[[#This Row],[COMPROMISO]]*Tabla9[[#This Row],[DIAS]]</f>
        <v>36718.479514250561</v>
      </c>
      <c r="AL66" s="13">
        <f>((( (Tabla9[[#This Row],[TASA_INT]])+1)^(30/360) -1)*(36000/30))/36000</f>
        <v>4.7131735880009035E-5</v>
      </c>
      <c r="AM66" s="3">
        <f>Tabla9[[#This Row],[TEA DIARIA]]*Tabla9[[#This Row],[SALDO_PROM_CORREGIDO]]*Tabla9[[#This Row],[DIAS]]</f>
        <v>2418.204398346973</v>
      </c>
      <c r="AN66" s="3">
        <f>Tabla9[[#This Row],[TEA DIARIA]]*Tabla9[[#This Row],[COMPROMISO]]*Tabla9[[#This Row],[DIAS]]</f>
        <v>14139.520764002711</v>
      </c>
      <c r="AO66" s="14">
        <f>+Tabla9[[#This Row],[PROYECTADO_FTP_MONTO]]-Tabla9[[#This Row],[PROYECCION_INTERES]]</f>
        <v>22578.95875024785</v>
      </c>
      <c r="AP66" s="3">
        <f>Tabla9[[#This Row],[PROYECCION_MARGEN(FTP - Int compromiso)]]-Tabla9[[#This Row],[REAL_MARGEN(FTP - Int)]]</f>
        <v>18714.808133788116</v>
      </c>
    </row>
    <row r="67" spans="1:42" x14ac:dyDescent="0.35">
      <c r="A67">
        <v>202604</v>
      </c>
      <c r="B67" s="7">
        <v>46142</v>
      </c>
      <c r="C67">
        <v>6207690</v>
      </c>
      <c r="D67" t="s">
        <v>36</v>
      </c>
      <c r="E67" t="s">
        <v>37</v>
      </c>
      <c r="F67" t="s">
        <v>96</v>
      </c>
      <c r="G67" t="s">
        <v>37</v>
      </c>
      <c r="H67" t="s">
        <v>499</v>
      </c>
      <c r="I67" t="s">
        <v>244</v>
      </c>
      <c r="J67" t="str">
        <f t="shared" si="47"/>
        <v>3.388</v>
      </c>
      <c r="K67" t="s">
        <v>32</v>
      </c>
      <c r="L67" t="s">
        <v>33</v>
      </c>
      <c r="M67" t="s">
        <v>34</v>
      </c>
      <c r="N67" t="s">
        <v>307</v>
      </c>
      <c r="O67" t="s">
        <v>44</v>
      </c>
      <c r="P67" s="3">
        <v>7727531.6560000004</v>
      </c>
      <c r="Q67" s="3">
        <v>11234969.806</v>
      </c>
      <c r="R67" s="4">
        <v>3.39E-2</v>
      </c>
      <c r="S67" s="3">
        <f>+Tabla9[[#This Row],[SAL_PROM_SOL]]</f>
        <v>7727531.6560000004</v>
      </c>
      <c r="T67" s="4">
        <v>1.9E-2</v>
      </c>
      <c r="U67" s="4">
        <v>1.49E-2</v>
      </c>
      <c r="V67" s="3">
        <v>21485.766100000001</v>
      </c>
      <c r="W67" s="3">
        <v>12129.3447</v>
      </c>
      <c r="X67" s="3">
        <v>9356.4213999999993</v>
      </c>
      <c r="Y67" s="3">
        <v>0</v>
      </c>
      <c r="Z67" s="3">
        <v>9356.4213999999993</v>
      </c>
      <c r="AA67">
        <v>30</v>
      </c>
      <c r="AB67" t="b">
        <f t="shared" si="36"/>
        <v>1</v>
      </c>
      <c r="AC67" s="3">
        <v>500000</v>
      </c>
      <c r="AD67" t="s">
        <v>46</v>
      </c>
      <c r="AE67" s="8">
        <v>46155.560022106481</v>
      </c>
      <c r="AF67" s="6">
        <f t="shared" ref="AF67:AF68" si="49">S67/AC67</f>
        <v>15.455063312</v>
      </c>
      <c r="AG67" s="6" t="b">
        <f>+Tabla9[[#This Row],[CUMPLIMIENTO]]&lt;100%</f>
        <v>0</v>
      </c>
      <c r="AH67" s="12">
        <f>((( (Tabla9[[#This Row],[FTP_CIERRE_MES]]/100)+1)^(30/360) -1)*(36000/30))/36000</f>
        <v>9.2680593701059222E-5</v>
      </c>
      <c r="AI67" s="3">
        <f>Tabla9[[#This Row],[FTP_DIARIO]]*Tabla9[[#This Row],[SALDO_PROM_CORREGIDO]]*Tabla9[[#This Row],[DIAS]]</f>
        <v>21485.766651654281</v>
      </c>
      <c r="AJ67" s="3">
        <f>Tabla9[[#This Row],[REAL_FTP_MONTO]]-Tabla9[[#This Row],[INT_REAL]]</f>
        <v>9356.4219516542817</v>
      </c>
      <c r="AK67" s="3">
        <f>Tabla9[[#This Row],[FTP_DIARIO]]*Tabla9[[#This Row],[COMPROMISO]]*Tabla9[[#This Row],[DIAS]]</f>
        <v>1390.2089055158883</v>
      </c>
      <c r="AL67" s="13">
        <f>((( (Tabla9[[#This Row],[TASA_INT]])+1)^(30/360) -1)*(36000/30))/36000</f>
        <v>5.2323674247123364E-5</v>
      </c>
      <c r="AM67" s="3">
        <f>Tabla9[[#This Row],[TEA DIARIA]]*Tabla9[[#This Row],[SALDO_PROM_CORREGIDO]]*Tabla9[[#This Row],[DIAS]]</f>
        <v>12129.985473086334</v>
      </c>
      <c r="AN67" s="3">
        <f>Tabla9[[#This Row],[TEA DIARIA]]*Tabla9[[#This Row],[COMPROMISO]]*Tabla9[[#This Row],[DIAS]]</f>
        <v>784.85511370685049</v>
      </c>
      <c r="AO67" s="14">
        <f>+Tabla9[[#This Row],[PROYECTADO_FTP_MONTO]]-Tabla9[[#This Row],[PROYECCION_INTERES]]</f>
        <v>605.35379180903783</v>
      </c>
      <c r="AP67" s="3">
        <f>Tabla9[[#This Row],[PROYECCION_MARGEN(FTP - Int compromiso)]]-Tabla9[[#This Row],[REAL_MARGEN(FTP - Int)]]</f>
        <v>-8751.0681598452429</v>
      </c>
    </row>
    <row r="68" spans="1:42" x14ac:dyDescent="0.35">
      <c r="A68">
        <v>202604</v>
      </c>
      <c r="B68" s="7">
        <v>46142</v>
      </c>
      <c r="C68">
        <v>6207690</v>
      </c>
      <c r="D68" t="s">
        <v>36</v>
      </c>
      <c r="E68" t="s">
        <v>37</v>
      </c>
      <c r="F68" t="s">
        <v>96</v>
      </c>
      <c r="G68" t="s">
        <v>37</v>
      </c>
      <c r="H68" t="s">
        <v>499</v>
      </c>
      <c r="I68" t="s">
        <v>243</v>
      </c>
      <c r="J68" t="str">
        <f t="shared" si="47"/>
        <v>4.4963</v>
      </c>
      <c r="K68" t="s">
        <v>32</v>
      </c>
      <c r="L68" t="s">
        <v>33</v>
      </c>
      <c r="M68" t="s">
        <v>31</v>
      </c>
      <c r="N68" t="s">
        <v>308</v>
      </c>
      <c r="O68" t="s">
        <v>44</v>
      </c>
      <c r="P68" s="3">
        <v>6451099.2109000003</v>
      </c>
      <c r="Q68" s="3">
        <v>7970513.9100000001</v>
      </c>
      <c r="R68" s="4">
        <v>4.4999999999999998E-2</v>
      </c>
      <c r="S68" s="3">
        <f>+Tabla9[[#This Row],[SAL_PROM_SOL]]</f>
        <v>6451099.2109000003</v>
      </c>
      <c r="T68" s="4">
        <v>2.3199999999999998E-2</v>
      </c>
      <c r="U68" s="4">
        <v>2.18E-2</v>
      </c>
      <c r="V68" s="3">
        <v>23687.461299999999</v>
      </c>
      <c r="W68" s="3">
        <v>12342.700500000001</v>
      </c>
      <c r="X68" s="3">
        <v>11344.7608</v>
      </c>
      <c r="Y68" s="3">
        <v>43.9499</v>
      </c>
      <c r="Z68" s="3">
        <v>11300.8109</v>
      </c>
      <c r="AA68">
        <v>30</v>
      </c>
      <c r="AB68" t="b">
        <f t="shared" si="36"/>
        <v>1</v>
      </c>
      <c r="AC68" s="3">
        <v>4000000</v>
      </c>
      <c r="AD68" t="s">
        <v>46</v>
      </c>
      <c r="AE68" s="8">
        <v>46155.560022106481</v>
      </c>
      <c r="AF68" s="6">
        <f t="shared" si="49"/>
        <v>1.6127748027250002</v>
      </c>
      <c r="AG68" s="6" t="b">
        <f>+Tabla9[[#This Row],[CUMPLIMIENTO]]&lt;100%</f>
        <v>0</v>
      </c>
      <c r="AH68" s="12">
        <f>((( (Tabla9[[#This Row],[FTP_CIERRE_MES]]/100)+1)^(30/360) -1)*(36000/30))/36000</f>
        <v>1.2239493171416853E-4</v>
      </c>
      <c r="AI68" s="3">
        <f>Tabla9[[#This Row],[FTP_DIARIO]]*Tabla9[[#This Row],[SALDO_PROM_CORREGIDO]]*Tabla9[[#This Row],[DIAS]]</f>
        <v>23687.455421982962</v>
      </c>
      <c r="AJ68" s="3">
        <f>Tabla9[[#This Row],[REAL_FTP_MONTO]]-Tabla9[[#This Row],[INT_REAL]]</f>
        <v>11344.754921982962</v>
      </c>
      <c r="AK68" s="3">
        <f>Tabla9[[#This Row],[FTP_DIARIO]]*Tabla9[[#This Row],[COMPROMISO]]*Tabla9[[#This Row],[DIAS]]</f>
        <v>14687.391805700223</v>
      </c>
      <c r="AL68" s="13">
        <f>((( (Tabla9[[#This Row],[TASA_INT]])+1)^(30/360) -1)*(36000/30))/36000</f>
        <v>6.3769173490905526E-5</v>
      </c>
      <c r="AM68" s="3">
        <f>Tabla9[[#This Row],[TEA DIARIA]]*Tabla9[[#This Row],[SALDO_PROM_CORREGIDO]]*Tabla9[[#This Row],[DIAS]]</f>
        <v>12341.437943607776</v>
      </c>
      <c r="AN68" s="3">
        <f>Tabla9[[#This Row],[TEA DIARIA]]*Tabla9[[#This Row],[COMPROMISO]]*Tabla9[[#This Row],[DIAS]]</f>
        <v>7652.3008189086631</v>
      </c>
      <c r="AO68" s="14">
        <f>+Tabla9[[#This Row],[PROYECTADO_FTP_MONTO]]-Tabla9[[#This Row],[PROYECCION_INTERES]]</f>
        <v>7035.0909867915598</v>
      </c>
      <c r="AP68" s="3">
        <f>Tabla9[[#This Row],[PROYECCION_MARGEN(FTP - Int compromiso)]]-Tabla9[[#This Row],[REAL_MARGEN(FTP - Int)]]</f>
        <v>-4309.6639351914018</v>
      </c>
    </row>
    <row r="69" spans="1:42" x14ac:dyDescent="0.35">
      <c r="A69">
        <v>202604</v>
      </c>
      <c r="B69" s="7">
        <v>46142</v>
      </c>
      <c r="C69">
        <v>6333405</v>
      </c>
      <c r="D69" t="s">
        <v>42</v>
      </c>
      <c r="E69" t="s">
        <v>43</v>
      </c>
      <c r="F69" t="s">
        <v>97</v>
      </c>
      <c r="G69" t="s">
        <v>43</v>
      </c>
      <c r="H69" t="s">
        <v>504</v>
      </c>
      <c r="I69" t="s">
        <v>243</v>
      </c>
      <c r="J69" t="str">
        <f t="shared" ref="J69:J70" si="50">IF(I69="SOLES","4.4963","3.388")</f>
        <v>4.4963</v>
      </c>
      <c r="K69" t="s">
        <v>32</v>
      </c>
      <c r="L69" t="s">
        <v>33</v>
      </c>
      <c r="M69" t="s">
        <v>31</v>
      </c>
      <c r="N69" t="s">
        <v>309</v>
      </c>
      <c r="O69" t="s">
        <v>44</v>
      </c>
      <c r="P69" s="3">
        <v>2804990.5606</v>
      </c>
      <c r="Q69" s="3">
        <v>1543457.02</v>
      </c>
      <c r="R69" s="4">
        <v>4.4999999999999998E-2</v>
      </c>
      <c r="S69" s="3">
        <f>+Tabla9[[#This Row],[SAL_PROM_SOL]]</f>
        <v>2804990.5606</v>
      </c>
      <c r="T69" s="4">
        <v>6.6E-3</v>
      </c>
      <c r="U69" s="4">
        <v>3.8399999999999997E-2</v>
      </c>
      <c r="V69" s="3">
        <v>10299.500400000001</v>
      </c>
      <c r="W69" s="3">
        <v>1528.3993</v>
      </c>
      <c r="X69" s="3">
        <v>8771.1010999999999</v>
      </c>
      <c r="Y69" s="3">
        <v>43.9499</v>
      </c>
      <c r="Z69" s="3">
        <v>8727.1512000000002</v>
      </c>
      <c r="AA69">
        <v>6</v>
      </c>
      <c r="AB69" t="b">
        <f t="shared" si="36"/>
        <v>0</v>
      </c>
      <c r="AC69" s="3">
        <v>6000000</v>
      </c>
      <c r="AD69" t="s">
        <v>45</v>
      </c>
      <c r="AE69" s="8">
        <v>46155.560022106481</v>
      </c>
      <c r="AF69" s="6">
        <f t="shared" ref="AF69:AF70" si="51">S69/AC69</f>
        <v>0.46749842676666664</v>
      </c>
      <c r="AG69" s="6" t="b">
        <f>+Tabla9[[#This Row],[CUMPLIMIENTO]]&lt;100%</f>
        <v>1</v>
      </c>
      <c r="AH69" s="12">
        <f>((( (Tabla9[[#This Row],[FTP_CIERRE_MES]]/100)+1)^(30/360) -1)*(36000/30))/36000</f>
        <v>1.2239493171416853E-4</v>
      </c>
      <c r="AI69" s="3">
        <f>Tabla9[[#This Row],[FTP_DIARIO]]*Tabla9[[#This Row],[SALDO_PROM_CORREGIDO]]*Tabla9[[#This Row],[DIAS]]</f>
        <v>2059.8997687411456</v>
      </c>
      <c r="AJ69" s="3">
        <f>Tabla9[[#This Row],[REAL_FTP_MONTO]]-Tabla9[[#This Row],[INT_REAL]]</f>
        <v>531.5004687411456</v>
      </c>
      <c r="AK69" s="3">
        <f>Tabla9[[#This Row],[FTP_DIARIO]]*Tabla9[[#This Row],[COMPROMISO]]*Tabla9[[#This Row],[DIAS]]</f>
        <v>4406.2175417100661</v>
      </c>
      <c r="AL69" s="13">
        <f>((( (Tabla9[[#This Row],[TASA_INT]])+1)^(30/360) -1)*(36000/30))/36000</f>
        <v>1.8278107729689332E-5</v>
      </c>
      <c r="AM69" s="3">
        <f>Tabla9[[#This Row],[TEA DIARIA]]*Tabla9[[#This Row],[SALDO_PROM_CORREGIDO]]*Tabla9[[#This Row],[DIAS]]</f>
        <v>307.61951788445083</v>
      </c>
      <c r="AN69" s="3">
        <f>Tabla9[[#This Row],[TEA DIARIA]]*Tabla9[[#This Row],[COMPROMISO]]*Tabla9[[#This Row],[DIAS]]</f>
        <v>658.01187826881596</v>
      </c>
      <c r="AO69" s="14">
        <f>+Tabla9[[#This Row],[PROYECTADO_FTP_MONTO]]-Tabla9[[#This Row],[PROYECCION_INTERES]]</f>
        <v>3748.2056634412502</v>
      </c>
      <c r="AP69" s="3">
        <f>Tabla9[[#This Row],[PROYECCION_MARGEN(FTP - Int compromiso)]]-Tabla9[[#This Row],[REAL_MARGEN(FTP - Int)]]</f>
        <v>3216.7051947001046</v>
      </c>
    </row>
    <row r="70" spans="1:42" x14ac:dyDescent="0.35">
      <c r="A70">
        <v>202604</v>
      </c>
      <c r="B70" s="7">
        <v>46142</v>
      </c>
      <c r="C70">
        <v>6334221</v>
      </c>
      <c r="D70" t="s">
        <v>36</v>
      </c>
      <c r="E70" t="s">
        <v>37</v>
      </c>
      <c r="F70" t="s">
        <v>98</v>
      </c>
      <c r="G70" t="s">
        <v>37</v>
      </c>
      <c r="H70" t="s">
        <v>498</v>
      </c>
      <c r="I70" t="s">
        <v>244</v>
      </c>
      <c r="J70" t="str">
        <f t="shared" si="50"/>
        <v>3.388</v>
      </c>
      <c r="K70" t="s">
        <v>32</v>
      </c>
      <c r="L70" t="s">
        <v>33</v>
      </c>
      <c r="M70" t="s">
        <v>34</v>
      </c>
      <c r="N70" t="s">
        <v>302</v>
      </c>
      <c r="O70" t="s">
        <v>44</v>
      </c>
      <c r="P70" s="3">
        <v>498919.20799999998</v>
      </c>
      <c r="Q70" s="3">
        <v>539619.39439999999</v>
      </c>
      <c r="R70" s="4">
        <v>3.39E-2</v>
      </c>
      <c r="S70" s="3">
        <f>+Tabla9[[#This Row],[SAL_PROM_SOL]]</f>
        <v>498919.20799999998</v>
      </c>
      <c r="T70" s="4">
        <v>3.5999999999999999E-3</v>
      </c>
      <c r="U70" s="4">
        <v>3.0300000000000001E-2</v>
      </c>
      <c r="V70" s="3">
        <v>1387.2191</v>
      </c>
      <c r="W70" s="3">
        <v>147.94569999999999</v>
      </c>
      <c r="X70" s="3">
        <v>1239.2734</v>
      </c>
      <c r="Y70" s="3">
        <v>40.076500000000003</v>
      </c>
      <c r="Z70" s="3">
        <v>1199.1968999999999</v>
      </c>
      <c r="AA70">
        <v>30</v>
      </c>
      <c r="AB70" t="b">
        <f t="shared" si="36"/>
        <v>1</v>
      </c>
      <c r="AC70" s="3">
        <v>15000000</v>
      </c>
      <c r="AD70" t="s">
        <v>46</v>
      </c>
      <c r="AE70" s="8">
        <v>46155.560022106481</v>
      </c>
      <c r="AF70" s="6">
        <f t="shared" si="51"/>
        <v>3.3261280533333333E-2</v>
      </c>
      <c r="AG70" s="6" t="b">
        <f>+Tabla9[[#This Row],[CUMPLIMIENTO]]&lt;100%</f>
        <v>1</v>
      </c>
      <c r="AH70" s="12">
        <f>((( (Tabla9[[#This Row],[FTP_CIERRE_MES]]/100)+1)^(30/360) -1)*(36000/30))/36000</f>
        <v>9.2680593701059222E-5</v>
      </c>
      <c r="AI70" s="3">
        <f>Tabla9[[#This Row],[FTP_DIARIO]]*Tabla9[[#This Row],[SALDO_PROM_CORREGIDO]]*Tabla9[[#This Row],[DIAS]]</f>
        <v>1387.2038521890677</v>
      </c>
      <c r="AJ70" s="3">
        <f>Tabla9[[#This Row],[REAL_FTP_MONTO]]-Tabla9[[#This Row],[INT_REAL]]</f>
        <v>1239.2581521890677</v>
      </c>
      <c r="AK70" s="3">
        <f>Tabla9[[#This Row],[FTP_DIARIO]]*Tabla9[[#This Row],[COMPROMISO]]*Tabla9[[#This Row],[DIAS]]</f>
        <v>41706.267165476653</v>
      </c>
      <c r="AL70" s="13">
        <f>((( (Tabla9[[#This Row],[TASA_INT]])+1)^(30/360) -1)*(36000/30))/36000</f>
        <v>9.9835378506589002E-6</v>
      </c>
      <c r="AM70" s="3">
        <f>Tabla9[[#This Row],[TEA DIARIA]]*Tabla9[[#This Row],[SALDO_PROM_CORREGIDO]]*Tabla9[[#This Row],[DIAS]]</f>
        <v>149.42936392466282</v>
      </c>
      <c r="AN70" s="3">
        <f>Tabla9[[#This Row],[TEA DIARIA]]*Tabla9[[#This Row],[COMPROMISO]]*Tabla9[[#This Row],[DIAS]]</f>
        <v>4492.592032796505</v>
      </c>
      <c r="AO70" s="14">
        <f>+Tabla9[[#This Row],[PROYECTADO_FTP_MONTO]]-Tabla9[[#This Row],[PROYECCION_INTERES]]</f>
        <v>37213.675132680146</v>
      </c>
      <c r="AP70" s="3">
        <f>Tabla9[[#This Row],[PROYECCION_MARGEN(FTP - Int compromiso)]]-Tabla9[[#This Row],[REAL_MARGEN(FTP - Int)]]</f>
        <v>35974.416980491078</v>
      </c>
    </row>
    <row r="71" spans="1:42" x14ac:dyDescent="0.35">
      <c r="A71">
        <v>202604</v>
      </c>
      <c r="B71" s="7">
        <v>46142</v>
      </c>
      <c r="C71">
        <v>6490361</v>
      </c>
      <c r="D71" t="s">
        <v>36</v>
      </c>
      <c r="E71" t="s">
        <v>37</v>
      </c>
      <c r="F71" t="s">
        <v>99</v>
      </c>
      <c r="G71" t="s">
        <v>37</v>
      </c>
      <c r="H71" t="s">
        <v>491</v>
      </c>
      <c r="I71" t="s">
        <v>243</v>
      </c>
      <c r="J71" t="str">
        <f t="shared" ref="J71:J72" si="52">IF(I71="SOLES","4.4963","3.388")</f>
        <v>4.4963</v>
      </c>
      <c r="K71" t="s">
        <v>32</v>
      </c>
      <c r="L71" t="s">
        <v>33</v>
      </c>
      <c r="M71" t="s">
        <v>31</v>
      </c>
      <c r="N71" t="s">
        <v>310</v>
      </c>
      <c r="O71" t="s">
        <v>44</v>
      </c>
      <c r="P71" s="3">
        <v>175269.05160000001</v>
      </c>
      <c r="Q71" s="3">
        <v>39884.18</v>
      </c>
      <c r="R71" s="4">
        <v>4.4999999999999998E-2</v>
      </c>
      <c r="S71" s="3">
        <f>+Tabla9[[#This Row],[SAL_PROM_SOL]]</f>
        <v>175269.05160000001</v>
      </c>
      <c r="T71" s="4">
        <v>9.1000000000000004E-3</v>
      </c>
      <c r="U71" s="4">
        <v>3.5900000000000001E-2</v>
      </c>
      <c r="V71" s="3">
        <v>643.55870000000004</v>
      </c>
      <c r="W71" s="3">
        <v>131.88069999999999</v>
      </c>
      <c r="X71" s="3">
        <v>511.678</v>
      </c>
      <c r="Y71" s="3">
        <v>15.0115</v>
      </c>
      <c r="Z71" s="3">
        <v>496.66649999999998</v>
      </c>
      <c r="AA71">
        <v>30</v>
      </c>
      <c r="AB71" t="b">
        <f t="shared" si="36"/>
        <v>1</v>
      </c>
      <c r="AC71" s="3">
        <v>1000000</v>
      </c>
      <c r="AD71" t="s">
        <v>45</v>
      </c>
      <c r="AE71" s="8">
        <v>46155.560022106481</v>
      </c>
      <c r="AF71" s="6">
        <f t="shared" ref="AF71:AF74" si="53">S71/AC71</f>
        <v>0.1752690516</v>
      </c>
      <c r="AG71" s="6" t="b">
        <f>+Tabla9[[#This Row],[CUMPLIMIENTO]]&lt;100%</f>
        <v>1</v>
      </c>
      <c r="AH71" s="12">
        <f>((( (Tabla9[[#This Row],[FTP_CIERRE_MES]]/100)+1)^(30/360) -1)*(36000/30))/36000</f>
        <v>1.2239493171416853E-4</v>
      </c>
      <c r="AI71" s="3">
        <f>Tabla9[[#This Row],[FTP_DIARIO]]*Tabla9[[#This Row],[SALDO_PROM_CORREGIDO]]*Tabla9[[#This Row],[DIAS]]</f>
        <v>643.56130806567239</v>
      </c>
      <c r="AJ71" s="3">
        <f>Tabla9[[#This Row],[REAL_FTP_MONTO]]-Tabla9[[#This Row],[INT_REAL]]</f>
        <v>511.6806080656724</v>
      </c>
      <c r="AK71" s="3">
        <f>Tabla9[[#This Row],[FTP_DIARIO]]*Tabla9[[#This Row],[COMPROMISO]]*Tabla9[[#This Row],[DIAS]]</f>
        <v>3671.8479514250557</v>
      </c>
      <c r="AL71" s="13">
        <f>((( (Tabla9[[#This Row],[TASA_INT]])+1)^(30/360) -1)*(36000/30))/36000</f>
        <v>2.5172957296004662E-5</v>
      </c>
      <c r="AM71" s="3">
        <f>Tabla9[[#This Row],[TEA DIARIA]]*Tabla9[[#This Row],[SALDO_PROM_CORREGIDO]]*Tabla9[[#This Row],[DIAS]]</f>
        <v>132.36121053714115</v>
      </c>
      <c r="AN71" s="3">
        <f>Tabla9[[#This Row],[TEA DIARIA]]*Tabla9[[#This Row],[COMPROMISO]]*Tabla9[[#This Row],[DIAS]]</f>
        <v>755.18871888013985</v>
      </c>
      <c r="AO71" s="14">
        <f>+Tabla9[[#This Row],[PROYECTADO_FTP_MONTO]]-Tabla9[[#This Row],[PROYECCION_INTERES]]</f>
        <v>2916.659232544916</v>
      </c>
      <c r="AP71" s="3">
        <f>Tabla9[[#This Row],[PROYECCION_MARGEN(FTP - Int compromiso)]]-Tabla9[[#This Row],[REAL_MARGEN(FTP - Int)]]</f>
        <v>2404.9786244792435</v>
      </c>
    </row>
    <row r="72" spans="1:42" x14ac:dyDescent="0.35">
      <c r="A72">
        <v>202604</v>
      </c>
      <c r="B72" s="7">
        <v>46142</v>
      </c>
      <c r="C72">
        <v>6577050</v>
      </c>
      <c r="D72" t="s">
        <v>36</v>
      </c>
      <c r="E72" t="s">
        <v>37</v>
      </c>
      <c r="F72" t="s">
        <v>100</v>
      </c>
      <c r="G72" t="s">
        <v>37</v>
      </c>
      <c r="H72" t="s">
        <v>505</v>
      </c>
      <c r="I72" t="s">
        <v>244</v>
      </c>
      <c r="J72" t="str">
        <f t="shared" si="52"/>
        <v>3.388</v>
      </c>
      <c r="K72" t="s">
        <v>32</v>
      </c>
      <c r="L72" t="s">
        <v>33</v>
      </c>
      <c r="M72" t="s">
        <v>34</v>
      </c>
      <c r="N72" t="s">
        <v>301</v>
      </c>
      <c r="O72" t="s">
        <v>44</v>
      </c>
      <c r="P72" s="3">
        <v>25385326.865400001</v>
      </c>
      <c r="Q72" s="3">
        <v>23110303.5768</v>
      </c>
      <c r="R72" s="4">
        <v>3.39E-2</v>
      </c>
      <c r="S72" s="3">
        <f>+Tabla9[[#This Row],[SAL_PROM_SOL]]</f>
        <v>25385326.865400001</v>
      </c>
      <c r="T72" s="4">
        <v>1.95E-2</v>
      </c>
      <c r="U72" s="4">
        <v>1.44E-2</v>
      </c>
      <c r="V72" s="3">
        <v>70581.809899999993</v>
      </c>
      <c r="W72" s="3">
        <v>40884.798699999999</v>
      </c>
      <c r="X72" s="3">
        <v>29697.011200000001</v>
      </c>
      <c r="Y72" s="3">
        <v>0</v>
      </c>
      <c r="Z72" s="3">
        <v>29697.011200000001</v>
      </c>
      <c r="AA72">
        <v>30</v>
      </c>
      <c r="AB72" t="b">
        <f t="shared" si="36"/>
        <v>1</v>
      </c>
      <c r="AC72" s="3">
        <v>2000000</v>
      </c>
      <c r="AD72" t="s">
        <v>46</v>
      </c>
      <c r="AE72" s="8">
        <v>46155.560022106481</v>
      </c>
      <c r="AF72" s="6">
        <f t="shared" si="53"/>
        <v>12.6926634327</v>
      </c>
      <c r="AG72" s="6" t="b">
        <f>+Tabla9[[#This Row],[CUMPLIMIENTO]]&lt;100%</f>
        <v>0</v>
      </c>
      <c r="AH72" s="12">
        <f>((( (Tabla9[[#This Row],[FTP_CIERRE_MES]]/100)+1)^(30/360) -1)*(36000/30))/36000</f>
        <v>9.2680593701059222E-5</v>
      </c>
      <c r="AI72" s="3">
        <f>Tabla9[[#This Row],[FTP_DIARIO]]*Tabla9[[#This Row],[SALDO_PROM_CORREGIDO]]*Tabla9[[#This Row],[DIAS]]</f>
        <v>70581.814955421622</v>
      </c>
      <c r="AJ72" s="3">
        <f>Tabla9[[#This Row],[REAL_FTP_MONTO]]-Tabla9[[#This Row],[INT_REAL]]</f>
        <v>29697.016255421622</v>
      </c>
      <c r="AK72" s="3">
        <f>Tabla9[[#This Row],[FTP_DIARIO]]*Tabla9[[#This Row],[COMPROMISO]]*Tabla9[[#This Row],[DIAS]]</f>
        <v>5560.8356220635533</v>
      </c>
      <c r="AL72" s="13">
        <f>((( (Tabla9[[#This Row],[TASA_INT]])+1)^(30/360) -1)*(36000/30))/36000</f>
        <v>5.3688498876539964E-5</v>
      </c>
      <c r="AM72" s="3">
        <f>Tabla9[[#This Row],[TEA DIARIA]]*Tabla9[[#This Row],[SALDO_PROM_CORREGIDO]]*Tabla9[[#This Row],[DIAS]]</f>
        <v>40887.002786808829</v>
      </c>
      <c r="AN72" s="3">
        <f>Tabla9[[#This Row],[TEA DIARIA]]*Tabla9[[#This Row],[COMPROMISO]]*Tabla9[[#This Row],[DIAS]]</f>
        <v>3221.3099325923981</v>
      </c>
      <c r="AO72" s="14">
        <f>+Tabla9[[#This Row],[PROYECTADO_FTP_MONTO]]-Tabla9[[#This Row],[PROYECCION_INTERES]]</f>
        <v>2339.5256894711551</v>
      </c>
      <c r="AP72" s="3">
        <f>Tabla9[[#This Row],[PROYECCION_MARGEN(FTP - Int compromiso)]]-Tabla9[[#This Row],[REAL_MARGEN(FTP - Int)]]</f>
        <v>-27357.490565950466</v>
      </c>
    </row>
    <row r="73" spans="1:42" x14ac:dyDescent="0.35">
      <c r="A73">
        <v>202604</v>
      </c>
      <c r="B73" s="7">
        <v>46142</v>
      </c>
      <c r="C73">
        <v>6632152</v>
      </c>
      <c r="D73" t="s">
        <v>29</v>
      </c>
      <c r="E73" t="s">
        <v>30</v>
      </c>
      <c r="F73" t="s">
        <v>101</v>
      </c>
      <c r="G73" t="s">
        <v>30</v>
      </c>
      <c r="H73" t="s">
        <v>506</v>
      </c>
      <c r="I73" t="s">
        <v>244</v>
      </c>
      <c r="J73" t="str">
        <f t="shared" ref="J73:J74" si="54">IF(I73="SOLES","4.4963","3.388")</f>
        <v>3.388</v>
      </c>
      <c r="K73" t="s">
        <v>32</v>
      </c>
      <c r="L73" t="s">
        <v>33</v>
      </c>
      <c r="M73" t="s">
        <v>34</v>
      </c>
      <c r="N73" t="s">
        <v>311</v>
      </c>
      <c r="O73" t="s">
        <v>44</v>
      </c>
      <c r="P73" s="3">
        <v>3705881.8295999998</v>
      </c>
      <c r="Q73" s="3">
        <v>5030900.4929</v>
      </c>
      <c r="R73" s="4">
        <v>3.39E-2</v>
      </c>
      <c r="S73" s="3">
        <f>+Tabla9[[#This Row],[SAL_PROM_SOL]]</f>
        <v>3705881.8295999998</v>
      </c>
      <c r="T73" s="4">
        <v>3.0499999999999999E-2</v>
      </c>
      <c r="U73" s="4">
        <v>3.3999999999999998E-3</v>
      </c>
      <c r="V73" s="3">
        <v>10303.9005</v>
      </c>
      <c r="W73" s="3">
        <v>9289.1795999999995</v>
      </c>
      <c r="X73" s="3">
        <v>1014.7209</v>
      </c>
      <c r="Y73" s="3">
        <v>0</v>
      </c>
      <c r="Z73" s="3">
        <v>1014.7209</v>
      </c>
      <c r="AA73">
        <v>30</v>
      </c>
      <c r="AB73" t="b">
        <f t="shared" si="36"/>
        <v>1</v>
      </c>
      <c r="AC73" s="3">
        <v>1500000</v>
      </c>
      <c r="AD73" t="s">
        <v>46</v>
      </c>
      <c r="AE73" s="8">
        <v>46155.560022106481</v>
      </c>
      <c r="AF73" s="6">
        <f t="shared" si="53"/>
        <v>2.4705878863999997</v>
      </c>
      <c r="AG73" s="6" t="b">
        <f>+Tabla9[[#This Row],[CUMPLIMIENTO]]&lt;100%</f>
        <v>0</v>
      </c>
      <c r="AH73" s="12">
        <f>((( (Tabla9[[#This Row],[FTP_CIERRE_MES]]/100)+1)^(30/360) -1)*(36000/30))/36000</f>
        <v>9.2680593701059222E-5</v>
      </c>
      <c r="AI73" s="3">
        <f>Tabla9[[#This Row],[FTP_DIARIO]]*Tabla9[[#This Row],[SALDO_PROM_CORREGIDO]]*Tabla9[[#This Row],[DIAS]]</f>
        <v>10303.899844598867</v>
      </c>
      <c r="AJ73" s="3">
        <f>Tabla9[[#This Row],[REAL_FTP_MONTO]]-Tabla9[[#This Row],[INT_REAL]]</f>
        <v>1014.7202445988678</v>
      </c>
      <c r="AK73" s="3">
        <f>Tabla9[[#This Row],[FTP_DIARIO]]*Tabla9[[#This Row],[COMPROMISO]]*Tabla9[[#This Row],[DIAS]]</f>
        <v>4170.6267165476647</v>
      </c>
      <c r="AL73" s="13">
        <f>((( (Tabla9[[#This Row],[TASA_INT]])+1)^(30/360) -1)*(36000/30))/36000</f>
        <v>8.3560453168329826E-5</v>
      </c>
      <c r="AM73" s="3">
        <f>Tabla9[[#This Row],[TEA DIARIA]]*Tabla9[[#This Row],[SALDO_PROM_CORREGIDO]]*Tabla9[[#This Row],[DIAS]]</f>
        <v>9289.954952089658</v>
      </c>
      <c r="AN73" s="3">
        <f>Tabla9[[#This Row],[TEA DIARIA]]*Tabla9[[#This Row],[COMPROMISO]]*Tabla9[[#This Row],[DIAS]]</f>
        <v>3760.2203925748422</v>
      </c>
      <c r="AO73" s="14">
        <f>+Tabla9[[#This Row],[PROYECTADO_FTP_MONTO]]-Tabla9[[#This Row],[PROYECCION_INTERES]]</f>
        <v>410.40632397282252</v>
      </c>
      <c r="AP73" s="3">
        <f>Tabla9[[#This Row],[PROYECCION_MARGEN(FTP - Int compromiso)]]-Tabla9[[#This Row],[REAL_MARGEN(FTP - Int)]]</f>
        <v>-604.31392062604527</v>
      </c>
    </row>
    <row r="74" spans="1:42" x14ac:dyDescent="0.35">
      <c r="A74">
        <v>202604</v>
      </c>
      <c r="B74" s="7">
        <v>46142</v>
      </c>
      <c r="C74">
        <v>6632152</v>
      </c>
      <c r="D74" t="s">
        <v>29</v>
      </c>
      <c r="E74" t="s">
        <v>30</v>
      </c>
      <c r="F74" t="s">
        <v>101</v>
      </c>
      <c r="G74" t="s">
        <v>30</v>
      </c>
      <c r="H74" t="s">
        <v>506</v>
      </c>
      <c r="I74" t="s">
        <v>243</v>
      </c>
      <c r="J74" t="str">
        <f t="shared" si="54"/>
        <v>4.4963</v>
      </c>
      <c r="K74" t="s">
        <v>32</v>
      </c>
      <c r="L74" t="s">
        <v>33</v>
      </c>
      <c r="M74" t="s">
        <v>31</v>
      </c>
      <c r="N74" t="s">
        <v>312</v>
      </c>
      <c r="O74" t="s">
        <v>44</v>
      </c>
      <c r="P74" s="3">
        <v>3530086.9802999999</v>
      </c>
      <c r="Q74" s="3">
        <v>1274851.1000000001</v>
      </c>
      <c r="R74" s="4">
        <v>4.4999999999999998E-2</v>
      </c>
      <c r="S74" s="3">
        <f>+Tabla9[[#This Row],[SAL_PROM_SOL]]</f>
        <v>3530086.9802999999</v>
      </c>
      <c r="T74" s="4">
        <v>3.95E-2</v>
      </c>
      <c r="U74" s="4">
        <v>5.4999999999999997E-3</v>
      </c>
      <c r="V74" s="3">
        <v>12961.9413</v>
      </c>
      <c r="W74" s="3">
        <v>11415.731299999999</v>
      </c>
      <c r="X74" s="3">
        <v>1546.21</v>
      </c>
      <c r="Y74" s="3">
        <v>43.9499</v>
      </c>
      <c r="Z74" s="3">
        <v>1502.2601</v>
      </c>
      <c r="AA74">
        <v>30</v>
      </c>
      <c r="AB74" t="b">
        <f t="shared" si="36"/>
        <v>1</v>
      </c>
      <c r="AC74" s="3">
        <v>1500000</v>
      </c>
      <c r="AD74" t="s">
        <v>46</v>
      </c>
      <c r="AE74" s="8">
        <v>46155.560022106481</v>
      </c>
      <c r="AF74" s="6">
        <f t="shared" si="53"/>
        <v>2.3533913202000001</v>
      </c>
      <c r="AG74" s="6" t="b">
        <f>+Tabla9[[#This Row],[CUMPLIMIENTO]]&lt;100%</f>
        <v>0</v>
      </c>
      <c r="AH74" s="12">
        <f>((( (Tabla9[[#This Row],[FTP_CIERRE_MES]]/100)+1)^(30/360) -1)*(36000/30))/36000</f>
        <v>1.2239493171416853E-4</v>
      </c>
      <c r="AI74" s="3">
        <f>Tabla9[[#This Row],[FTP_DIARIO]]*Tabla9[[#This Row],[SALDO_PROM_CORREGIDO]]*Tabla9[[#This Row],[DIAS]]</f>
        <v>12961.942646966816</v>
      </c>
      <c r="AJ74" s="3">
        <f>Tabla9[[#This Row],[REAL_FTP_MONTO]]-Tabla9[[#This Row],[INT_REAL]]</f>
        <v>1546.2113469668166</v>
      </c>
      <c r="AK74" s="3">
        <f>Tabla9[[#This Row],[FTP_DIARIO]]*Tabla9[[#This Row],[COMPROMISO]]*Tabla9[[#This Row],[DIAS]]</f>
        <v>5507.7719271375836</v>
      </c>
      <c r="AL74" s="13">
        <f>((( (Tabla9[[#This Row],[TASA_INT]])+1)^(30/360) -1)*(36000/30))/36000</f>
        <v>1.077845220112635E-4</v>
      </c>
      <c r="AM74" s="3">
        <f>Tabla9[[#This Row],[TEA DIARIA]]*Tabla9[[#This Row],[SALDO_PROM_CORREGIDO]]*Tabla9[[#This Row],[DIAS]]</f>
        <v>11414.662134894603</v>
      </c>
      <c r="AN74" s="3">
        <f>Tabla9[[#This Row],[TEA DIARIA]]*Tabla9[[#This Row],[COMPROMISO]]*Tabla9[[#This Row],[DIAS]]</f>
        <v>4850.303490506858</v>
      </c>
      <c r="AO74" s="14">
        <f>+Tabla9[[#This Row],[PROYECTADO_FTP_MONTO]]-Tabla9[[#This Row],[PROYECCION_INTERES]]</f>
        <v>657.46843663072559</v>
      </c>
      <c r="AP74" s="3">
        <f>Tabla9[[#This Row],[PROYECCION_MARGEN(FTP - Int compromiso)]]-Tabla9[[#This Row],[REAL_MARGEN(FTP - Int)]]</f>
        <v>-888.74291033609097</v>
      </c>
    </row>
    <row r="75" spans="1:42" x14ac:dyDescent="0.35">
      <c r="A75">
        <v>202604</v>
      </c>
      <c r="B75" s="7">
        <v>46142</v>
      </c>
      <c r="C75">
        <v>6854442</v>
      </c>
      <c r="D75" t="s">
        <v>42</v>
      </c>
      <c r="E75" t="s">
        <v>48</v>
      </c>
      <c r="F75" t="s">
        <v>102</v>
      </c>
      <c r="G75" t="s">
        <v>48</v>
      </c>
      <c r="H75" t="s">
        <v>495</v>
      </c>
      <c r="I75" t="s">
        <v>243</v>
      </c>
      <c r="J75" t="str">
        <f t="shared" ref="J75:J91" si="55">IF(I75="SOLES","4.4963","3.388")</f>
        <v>4.4963</v>
      </c>
      <c r="K75" t="s">
        <v>32</v>
      </c>
      <c r="L75" t="s">
        <v>33</v>
      </c>
      <c r="M75" t="s">
        <v>31</v>
      </c>
      <c r="N75" t="s">
        <v>313</v>
      </c>
      <c r="O75" t="s">
        <v>44</v>
      </c>
      <c r="P75" s="3">
        <v>24408.050200000001</v>
      </c>
      <c r="Q75" s="3">
        <v>24394.400000000001</v>
      </c>
      <c r="R75" s="4">
        <v>4.4999999999999998E-2</v>
      </c>
      <c r="T75" s="4">
        <v>0.02</v>
      </c>
      <c r="U75" s="4">
        <v>2.5000000000000001E-2</v>
      </c>
      <c r="V75" s="3">
        <v>89.621300000000005</v>
      </c>
      <c r="W75" s="3">
        <v>40.310600000000001</v>
      </c>
      <c r="X75" s="3">
        <v>49.310699999999997</v>
      </c>
      <c r="Y75" s="3">
        <v>0</v>
      </c>
      <c r="Z75" s="3">
        <v>49.310699999999997</v>
      </c>
      <c r="AA75">
        <v>30</v>
      </c>
      <c r="AB75" t="b">
        <f t="shared" ref="AB75:AB91" si="56">+AA75=30</f>
        <v>1</v>
      </c>
      <c r="AD75" t="s">
        <v>46</v>
      </c>
      <c r="AE75" s="8">
        <v>46155.560022106481</v>
      </c>
      <c r="AF75" s="6" t="e">
        <f t="shared" ref="AF75:AF82" si="57">S75/AC75</f>
        <v>#DIV/0!</v>
      </c>
      <c r="AG75" s="6" t="e">
        <f>+Tabla9[[#This Row],[CUMPLIMIENTO]]&lt;100%</f>
        <v>#DIV/0!</v>
      </c>
      <c r="AH75" s="12">
        <f>((( (Tabla9[[#This Row],[FTP_CIERRE_MES]]/100)+1)^(30/360) -1)*(36000/30))/36000</f>
        <v>1.2239493171416853E-4</v>
      </c>
      <c r="AI75" s="3">
        <f>Tabla9[[#This Row],[FTP_DIARIO]]*Tabla9[[#This Row],[SALDO_PROM_CORREGIDO]]*Tabla9[[#This Row],[DIAS]]</f>
        <v>0</v>
      </c>
      <c r="AJ75" s="3">
        <f>Tabla9[[#This Row],[REAL_FTP_MONTO]]-Tabla9[[#This Row],[INT_REAL]]</f>
        <v>-40.310600000000001</v>
      </c>
      <c r="AK75" s="3">
        <f>Tabla9[[#This Row],[FTP_DIARIO]]*Tabla9[[#This Row],[COMPROMISO]]*Tabla9[[#This Row],[DIAS]]</f>
        <v>0</v>
      </c>
      <c r="AL75" s="13">
        <f>((( (Tabla9[[#This Row],[TASA_INT]])+1)^(30/360) -1)*(36000/30))/36000</f>
        <v>5.5052710064007471E-5</v>
      </c>
      <c r="AM75" s="3">
        <f>Tabla9[[#This Row],[TEA DIARIA]]*Tabla9[[#This Row],[SALDO_PROM_CORREGIDO]]*Tabla9[[#This Row],[DIAS]]</f>
        <v>0</v>
      </c>
      <c r="AN75" s="3">
        <f>Tabla9[[#This Row],[TEA DIARIA]]*Tabla9[[#This Row],[COMPROMISO]]*Tabla9[[#This Row],[DIAS]]</f>
        <v>0</v>
      </c>
      <c r="AO75" s="14">
        <f>+Tabla9[[#This Row],[PROYECTADO_FTP_MONTO]]-Tabla9[[#This Row],[PROYECCION_INTERES]]</f>
        <v>0</v>
      </c>
      <c r="AP75" s="3">
        <f>Tabla9[[#This Row],[PROYECCION_MARGEN(FTP - Int compromiso)]]-Tabla9[[#This Row],[REAL_MARGEN(FTP - Int)]]</f>
        <v>40.310600000000001</v>
      </c>
    </row>
    <row r="76" spans="1:42" x14ac:dyDescent="0.35">
      <c r="A76">
        <v>202604</v>
      </c>
      <c r="B76" s="7">
        <v>46142</v>
      </c>
      <c r="C76">
        <v>6854442</v>
      </c>
      <c r="D76" t="s">
        <v>42</v>
      </c>
      <c r="E76" t="s">
        <v>48</v>
      </c>
      <c r="F76" t="s">
        <v>102</v>
      </c>
      <c r="G76" t="s">
        <v>48</v>
      </c>
      <c r="H76" t="s">
        <v>495</v>
      </c>
      <c r="I76" t="s">
        <v>243</v>
      </c>
      <c r="J76" t="str">
        <f t="shared" si="55"/>
        <v>4.4963</v>
      </c>
      <c r="K76" t="s">
        <v>32</v>
      </c>
      <c r="L76" t="s">
        <v>33</v>
      </c>
      <c r="M76" t="s">
        <v>31</v>
      </c>
      <c r="N76" t="s">
        <v>314</v>
      </c>
      <c r="O76" t="s">
        <v>44</v>
      </c>
      <c r="P76" s="3">
        <v>53148.6993</v>
      </c>
      <c r="Q76" s="3">
        <v>37429.919999999998</v>
      </c>
      <c r="R76" s="4">
        <v>4.4999999999999998E-2</v>
      </c>
      <c r="T76" s="4">
        <v>0.02</v>
      </c>
      <c r="U76" s="4">
        <v>2.5000000000000001E-2</v>
      </c>
      <c r="V76" s="3">
        <v>195.14920000000001</v>
      </c>
      <c r="W76" s="3">
        <v>87.779300000000006</v>
      </c>
      <c r="X76" s="3">
        <v>107.3699</v>
      </c>
      <c r="Y76" s="3">
        <v>0</v>
      </c>
      <c r="Z76" s="3">
        <v>107.3699</v>
      </c>
      <c r="AA76">
        <v>30</v>
      </c>
      <c r="AB76" t="b">
        <f t="shared" si="56"/>
        <v>1</v>
      </c>
      <c r="AD76" t="s">
        <v>46</v>
      </c>
      <c r="AE76" s="8">
        <v>46155.560022106481</v>
      </c>
      <c r="AF76" s="6" t="e">
        <f t="shared" si="57"/>
        <v>#DIV/0!</v>
      </c>
      <c r="AG76" s="6" t="e">
        <f>+Tabla9[[#This Row],[CUMPLIMIENTO]]&lt;100%</f>
        <v>#DIV/0!</v>
      </c>
      <c r="AH76" s="12">
        <f>((( (Tabla9[[#This Row],[FTP_CIERRE_MES]]/100)+1)^(30/360) -1)*(36000/30))/36000</f>
        <v>1.2239493171416853E-4</v>
      </c>
      <c r="AI76" s="3">
        <f>Tabla9[[#This Row],[FTP_DIARIO]]*Tabla9[[#This Row],[SALDO_PROM_CORREGIDO]]*Tabla9[[#This Row],[DIAS]]</f>
        <v>0</v>
      </c>
      <c r="AJ76" s="3">
        <f>Tabla9[[#This Row],[REAL_FTP_MONTO]]-Tabla9[[#This Row],[INT_REAL]]</f>
        <v>-87.779300000000006</v>
      </c>
      <c r="AK76" s="3">
        <f>Tabla9[[#This Row],[FTP_DIARIO]]*Tabla9[[#This Row],[COMPROMISO]]*Tabla9[[#This Row],[DIAS]]</f>
        <v>0</v>
      </c>
      <c r="AL76" s="13">
        <f>((( (Tabla9[[#This Row],[TASA_INT]])+1)^(30/360) -1)*(36000/30))/36000</f>
        <v>5.5052710064007471E-5</v>
      </c>
      <c r="AM76" s="3">
        <f>Tabla9[[#This Row],[TEA DIARIA]]*Tabla9[[#This Row],[SALDO_PROM_CORREGIDO]]*Tabla9[[#This Row],[DIAS]]</f>
        <v>0</v>
      </c>
      <c r="AN76" s="3">
        <f>Tabla9[[#This Row],[TEA DIARIA]]*Tabla9[[#This Row],[COMPROMISO]]*Tabla9[[#This Row],[DIAS]]</f>
        <v>0</v>
      </c>
      <c r="AO76" s="14">
        <f>+Tabla9[[#This Row],[PROYECTADO_FTP_MONTO]]-Tabla9[[#This Row],[PROYECCION_INTERES]]</f>
        <v>0</v>
      </c>
      <c r="AP76" s="3">
        <f>Tabla9[[#This Row],[PROYECCION_MARGEN(FTP - Int compromiso)]]-Tabla9[[#This Row],[REAL_MARGEN(FTP - Int)]]</f>
        <v>87.779300000000006</v>
      </c>
    </row>
    <row r="77" spans="1:42" x14ac:dyDescent="0.35">
      <c r="A77">
        <v>202604</v>
      </c>
      <c r="B77" s="7">
        <v>46142</v>
      </c>
      <c r="C77">
        <v>6854442</v>
      </c>
      <c r="D77" t="s">
        <v>42</v>
      </c>
      <c r="E77" t="s">
        <v>48</v>
      </c>
      <c r="F77" t="s">
        <v>102</v>
      </c>
      <c r="G77" t="s">
        <v>48</v>
      </c>
      <c r="H77" t="s">
        <v>495</v>
      </c>
      <c r="I77" t="s">
        <v>243</v>
      </c>
      <c r="J77" t="str">
        <f t="shared" si="55"/>
        <v>4.4963</v>
      </c>
      <c r="K77" t="s">
        <v>32</v>
      </c>
      <c r="L77" t="s">
        <v>41</v>
      </c>
      <c r="M77" t="s">
        <v>31</v>
      </c>
      <c r="N77" t="s">
        <v>315</v>
      </c>
      <c r="O77" t="s">
        <v>44</v>
      </c>
      <c r="P77" s="3">
        <v>139046.4295</v>
      </c>
      <c r="Q77" s="3">
        <v>139251.01999999999</v>
      </c>
      <c r="R77" s="4">
        <v>4.4999999999999998E-2</v>
      </c>
      <c r="T77" s="4">
        <v>0.02</v>
      </c>
      <c r="U77" s="4">
        <v>2.5000000000000001E-2</v>
      </c>
      <c r="V77" s="3">
        <v>510.55900000000003</v>
      </c>
      <c r="W77" s="3">
        <v>229.58959999999999</v>
      </c>
      <c r="X77" s="3">
        <v>280.96940000000001</v>
      </c>
      <c r="Y77" s="3">
        <v>0</v>
      </c>
      <c r="Z77" s="3">
        <v>280.96940000000001</v>
      </c>
      <c r="AA77">
        <v>30</v>
      </c>
      <c r="AB77" t="b">
        <f t="shared" si="56"/>
        <v>1</v>
      </c>
      <c r="AD77" t="s">
        <v>46</v>
      </c>
      <c r="AE77" s="8">
        <v>46155.560022106481</v>
      </c>
      <c r="AF77" s="6" t="e">
        <f t="shared" si="57"/>
        <v>#DIV/0!</v>
      </c>
      <c r="AG77" s="6" t="e">
        <f>+Tabla9[[#This Row],[CUMPLIMIENTO]]&lt;100%</f>
        <v>#DIV/0!</v>
      </c>
      <c r="AH77" s="12">
        <f>((( (Tabla9[[#This Row],[FTP_CIERRE_MES]]/100)+1)^(30/360) -1)*(36000/30))/36000</f>
        <v>1.2239493171416853E-4</v>
      </c>
      <c r="AI77" s="3">
        <f>Tabla9[[#This Row],[FTP_DIARIO]]*Tabla9[[#This Row],[SALDO_PROM_CORREGIDO]]*Tabla9[[#This Row],[DIAS]]</f>
        <v>0</v>
      </c>
      <c r="AJ77" s="3">
        <f>Tabla9[[#This Row],[REAL_FTP_MONTO]]-Tabla9[[#This Row],[INT_REAL]]</f>
        <v>-229.58959999999999</v>
      </c>
      <c r="AK77" s="3">
        <f>Tabla9[[#This Row],[FTP_DIARIO]]*Tabla9[[#This Row],[COMPROMISO]]*Tabla9[[#This Row],[DIAS]]</f>
        <v>0</v>
      </c>
      <c r="AL77" s="13">
        <f>((( (Tabla9[[#This Row],[TASA_INT]])+1)^(30/360) -1)*(36000/30))/36000</f>
        <v>5.5052710064007471E-5</v>
      </c>
      <c r="AM77" s="3">
        <f>Tabla9[[#This Row],[TEA DIARIA]]*Tabla9[[#This Row],[SALDO_PROM_CORREGIDO]]*Tabla9[[#This Row],[DIAS]]</f>
        <v>0</v>
      </c>
      <c r="AN77" s="3">
        <f>Tabla9[[#This Row],[TEA DIARIA]]*Tabla9[[#This Row],[COMPROMISO]]*Tabla9[[#This Row],[DIAS]]</f>
        <v>0</v>
      </c>
      <c r="AO77" s="14">
        <f>+Tabla9[[#This Row],[PROYECTADO_FTP_MONTO]]-Tabla9[[#This Row],[PROYECCION_INTERES]]</f>
        <v>0</v>
      </c>
      <c r="AP77" s="3">
        <f>Tabla9[[#This Row],[PROYECCION_MARGEN(FTP - Int compromiso)]]-Tabla9[[#This Row],[REAL_MARGEN(FTP - Int)]]</f>
        <v>229.58959999999999</v>
      </c>
    </row>
    <row r="78" spans="1:42" x14ac:dyDescent="0.35">
      <c r="A78">
        <v>202604</v>
      </c>
      <c r="B78" s="7">
        <v>46142</v>
      </c>
      <c r="C78">
        <v>6854442</v>
      </c>
      <c r="D78" t="s">
        <v>42</v>
      </c>
      <c r="E78" t="s">
        <v>48</v>
      </c>
      <c r="F78" t="s">
        <v>102</v>
      </c>
      <c r="G78" t="s">
        <v>48</v>
      </c>
      <c r="H78" t="s">
        <v>495</v>
      </c>
      <c r="I78" t="s">
        <v>243</v>
      </c>
      <c r="J78" t="str">
        <f t="shared" si="55"/>
        <v>4.4963</v>
      </c>
      <c r="K78" t="s">
        <v>32</v>
      </c>
      <c r="L78" t="s">
        <v>33</v>
      </c>
      <c r="M78" t="s">
        <v>31</v>
      </c>
      <c r="N78" t="s">
        <v>316</v>
      </c>
      <c r="O78" t="s">
        <v>44</v>
      </c>
      <c r="P78" s="3">
        <v>194143.3193</v>
      </c>
      <c r="Q78" s="3">
        <v>194389.82</v>
      </c>
      <c r="R78" s="4">
        <v>4.4999999999999998E-2</v>
      </c>
      <c r="T78" s="4">
        <v>0.02</v>
      </c>
      <c r="U78" s="4">
        <v>2.5000000000000001E-2</v>
      </c>
      <c r="V78" s="3">
        <v>712.85940000000005</v>
      </c>
      <c r="W78" s="3">
        <v>320.62939999999998</v>
      </c>
      <c r="X78" s="3">
        <v>392.23</v>
      </c>
      <c r="Y78" s="3">
        <v>0</v>
      </c>
      <c r="Z78" s="3">
        <v>392.23</v>
      </c>
      <c r="AA78">
        <v>30</v>
      </c>
      <c r="AB78" t="b">
        <f t="shared" si="56"/>
        <v>1</v>
      </c>
      <c r="AD78" t="s">
        <v>46</v>
      </c>
      <c r="AE78" s="8">
        <v>46155.560022106481</v>
      </c>
      <c r="AF78" s="6" t="e">
        <f t="shared" si="57"/>
        <v>#DIV/0!</v>
      </c>
      <c r="AG78" s="6" t="e">
        <f>+Tabla9[[#This Row],[CUMPLIMIENTO]]&lt;100%</f>
        <v>#DIV/0!</v>
      </c>
      <c r="AH78" s="12">
        <f>((( (Tabla9[[#This Row],[FTP_CIERRE_MES]]/100)+1)^(30/360) -1)*(36000/30))/36000</f>
        <v>1.2239493171416853E-4</v>
      </c>
      <c r="AI78" s="3">
        <f>Tabla9[[#This Row],[FTP_DIARIO]]*Tabla9[[#This Row],[SALDO_PROM_CORREGIDO]]*Tabla9[[#This Row],[DIAS]]</f>
        <v>0</v>
      </c>
      <c r="AJ78" s="3">
        <f>Tabla9[[#This Row],[REAL_FTP_MONTO]]-Tabla9[[#This Row],[INT_REAL]]</f>
        <v>-320.62939999999998</v>
      </c>
      <c r="AK78" s="3">
        <f>Tabla9[[#This Row],[FTP_DIARIO]]*Tabla9[[#This Row],[COMPROMISO]]*Tabla9[[#This Row],[DIAS]]</f>
        <v>0</v>
      </c>
      <c r="AL78" s="13">
        <f>((( (Tabla9[[#This Row],[TASA_INT]])+1)^(30/360) -1)*(36000/30))/36000</f>
        <v>5.5052710064007471E-5</v>
      </c>
      <c r="AM78" s="3">
        <f>Tabla9[[#This Row],[TEA DIARIA]]*Tabla9[[#This Row],[SALDO_PROM_CORREGIDO]]*Tabla9[[#This Row],[DIAS]]</f>
        <v>0</v>
      </c>
      <c r="AN78" s="3">
        <f>Tabla9[[#This Row],[TEA DIARIA]]*Tabla9[[#This Row],[COMPROMISO]]*Tabla9[[#This Row],[DIAS]]</f>
        <v>0</v>
      </c>
      <c r="AO78" s="14">
        <f>+Tabla9[[#This Row],[PROYECTADO_FTP_MONTO]]-Tabla9[[#This Row],[PROYECCION_INTERES]]</f>
        <v>0</v>
      </c>
      <c r="AP78" s="3">
        <f>Tabla9[[#This Row],[PROYECCION_MARGEN(FTP - Int compromiso)]]-Tabla9[[#This Row],[REAL_MARGEN(FTP - Int)]]</f>
        <v>320.62939999999998</v>
      </c>
    </row>
    <row r="79" spans="1:42" x14ac:dyDescent="0.35">
      <c r="A79">
        <v>202604</v>
      </c>
      <c r="B79" s="7">
        <v>46142</v>
      </c>
      <c r="C79">
        <v>6854442</v>
      </c>
      <c r="D79" t="s">
        <v>42</v>
      </c>
      <c r="E79" t="s">
        <v>48</v>
      </c>
      <c r="F79" t="s">
        <v>102</v>
      </c>
      <c r="G79" t="s">
        <v>48</v>
      </c>
      <c r="H79" t="s">
        <v>495</v>
      </c>
      <c r="I79" t="s">
        <v>243</v>
      </c>
      <c r="J79" t="str">
        <f t="shared" si="55"/>
        <v>4.4963</v>
      </c>
      <c r="K79" t="s">
        <v>32</v>
      </c>
      <c r="L79" t="s">
        <v>41</v>
      </c>
      <c r="M79" t="s">
        <v>31</v>
      </c>
      <c r="N79" t="s">
        <v>317</v>
      </c>
      <c r="O79" t="s">
        <v>44</v>
      </c>
      <c r="P79" s="3">
        <v>207025.6998</v>
      </c>
      <c r="Q79" s="3">
        <v>207338.81</v>
      </c>
      <c r="R79" s="4">
        <v>4.4999999999999998E-2</v>
      </c>
      <c r="T79" s="4">
        <v>0.02</v>
      </c>
      <c r="U79" s="4">
        <v>2.5000000000000001E-2</v>
      </c>
      <c r="V79" s="3">
        <v>760.16959999999995</v>
      </c>
      <c r="W79" s="3">
        <v>341.94839999999999</v>
      </c>
      <c r="X79" s="3">
        <v>418.22120000000001</v>
      </c>
      <c r="Y79" s="3">
        <v>0</v>
      </c>
      <c r="Z79" s="3">
        <v>418.22120000000001</v>
      </c>
      <c r="AA79">
        <v>30</v>
      </c>
      <c r="AB79" t="b">
        <f t="shared" si="56"/>
        <v>1</v>
      </c>
      <c r="AD79" t="s">
        <v>46</v>
      </c>
      <c r="AE79" s="8">
        <v>46155.560022106481</v>
      </c>
      <c r="AF79" s="6" t="e">
        <f t="shared" si="57"/>
        <v>#DIV/0!</v>
      </c>
      <c r="AG79" s="6" t="e">
        <f>+Tabla9[[#This Row],[CUMPLIMIENTO]]&lt;100%</f>
        <v>#DIV/0!</v>
      </c>
      <c r="AH79" s="12">
        <f>((( (Tabla9[[#This Row],[FTP_CIERRE_MES]]/100)+1)^(30/360) -1)*(36000/30))/36000</f>
        <v>1.2239493171416853E-4</v>
      </c>
      <c r="AI79" s="3">
        <f>Tabla9[[#This Row],[FTP_DIARIO]]*Tabla9[[#This Row],[SALDO_PROM_CORREGIDO]]*Tabla9[[#This Row],[DIAS]]</f>
        <v>0</v>
      </c>
      <c r="AJ79" s="3">
        <f>Tabla9[[#This Row],[REAL_FTP_MONTO]]-Tabla9[[#This Row],[INT_REAL]]</f>
        <v>-341.94839999999999</v>
      </c>
      <c r="AK79" s="3">
        <f>Tabla9[[#This Row],[FTP_DIARIO]]*Tabla9[[#This Row],[COMPROMISO]]*Tabla9[[#This Row],[DIAS]]</f>
        <v>0</v>
      </c>
      <c r="AL79" s="13">
        <f>((( (Tabla9[[#This Row],[TASA_INT]])+1)^(30/360) -1)*(36000/30))/36000</f>
        <v>5.5052710064007471E-5</v>
      </c>
      <c r="AM79" s="3">
        <f>Tabla9[[#This Row],[TEA DIARIA]]*Tabla9[[#This Row],[SALDO_PROM_CORREGIDO]]*Tabla9[[#This Row],[DIAS]]</f>
        <v>0</v>
      </c>
      <c r="AN79" s="3">
        <f>Tabla9[[#This Row],[TEA DIARIA]]*Tabla9[[#This Row],[COMPROMISO]]*Tabla9[[#This Row],[DIAS]]</f>
        <v>0</v>
      </c>
      <c r="AO79" s="14">
        <f>+Tabla9[[#This Row],[PROYECTADO_FTP_MONTO]]-Tabla9[[#This Row],[PROYECCION_INTERES]]</f>
        <v>0</v>
      </c>
      <c r="AP79" s="3">
        <f>Tabla9[[#This Row],[PROYECCION_MARGEN(FTP - Int compromiso)]]-Tabla9[[#This Row],[REAL_MARGEN(FTP - Int)]]</f>
        <v>341.94839999999999</v>
      </c>
    </row>
    <row r="80" spans="1:42" x14ac:dyDescent="0.35">
      <c r="A80">
        <v>202604</v>
      </c>
      <c r="B80" s="7">
        <v>46142</v>
      </c>
      <c r="C80">
        <v>6854442</v>
      </c>
      <c r="D80" t="s">
        <v>42</v>
      </c>
      <c r="E80" t="s">
        <v>48</v>
      </c>
      <c r="F80" t="s">
        <v>102</v>
      </c>
      <c r="G80" t="s">
        <v>48</v>
      </c>
      <c r="H80" t="s">
        <v>495</v>
      </c>
      <c r="I80" t="s">
        <v>243</v>
      </c>
      <c r="J80" t="str">
        <f t="shared" si="55"/>
        <v>4.4963</v>
      </c>
      <c r="K80" t="s">
        <v>32</v>
      </c>
      <c r="L80" t="s">
        <v>33</v>
      </c>
      <c r="M80" t="s">
        <v>31</v>
      </c>
      <c r="N80" t="s">
        <v>318</v>
      </c>
      <c r="O80" t="s">
        <v>44</v>
      </c>
      <c r="P80" s="3">
        <v>279597.42940000002</v>
      </c>
      <c r="Q80" s="3">
        <v>117580.17</v>
      </c>
      <c r="R80" s="4">
        <v>4.4999999999999998E-2</v>
      </c>
      <c r="T80" s="4">
        <v>2.0299999999999999E-2</v>
      </c>
      <c r="U80" s="4">
        <v>2.47E-2</v>
      </c>
      <c r="V80" s="3">
        <v>1026.6405999999999</v>
      </c>
      <c r="W80" s="3">
        <v>468.12060000000002</v>
      </c>
      <c r="X80" s="3">
        <v>558.52</v>
      </c>
      <c r="Y80" s="3">
        <v>0</v>
      </c>
      <c r="Z80" s="3">
        <v>558.52</v>
      </c>
      <c r="AA80">
        <v>30</v>
      </c>
      <c r="AB80" t="b">
        <f t="shared" si="56"/>
        <v>1</v>
      </c>
      <c r="AD80" t="s">
        <v>46</v>
      </c>
      <c r="AE80" s="8">
        <v>46155.560022106481</v>
      </c>
      <c r="AF80" s="6" t="e">
        <f t="shared" si="57"/>
        <v>#DIV/0!</v>
      </c>
      <c r="AG80" s="6" t="e">
        <f>+Tabla9[[#This Row],[CUMPLIMIENTO]]&lt;100%</f>
        <v>#DIV/0!</v>
      </c>
      <c r="AH80" s="12">
        <f>((( (Tabla9[[#This Row],[FTP_CIERRE_MES]]/100)+1)^(30/360) -1)*(36000/30))/36000</f>
        <v>1.2239493171416853E-4</v>
      </c>
      <c r="AI80" s="3">
        <f>Tabla9[[#This Row],[FTP_DIARIO]]*Tabla9[[#This Row],[SALDO_PROM_CORREGIDO]]*Tabla9[[#This Row],[DIAS]]</f>
        <v>0</v>
      </c>
      <c r="AJ80" s="3">
        <f>Tabla9[[#This Row],[REAL_FTP_MONTO]]-Tabla9[[#This Row],[INT_REAL]]</f>
        <v>-468.12060000000002</v>
      </c>
      <c r="AK80" s="3">
        <f>Tabla9[[#This Row],[FTP_DIARIO]]*Tabla9[[#This Row],[COMPROMISO]]*Tabla9[[#This Row],[DIAS]]</f>
        <v>0</v>
      </c>
      <c r="AL80" s="13">
        <f>((( (Tabla9[[#This Row],[TASA_INT]])+1)^(30/360) -1)*(36000/30))/36000</f>
        <v>5.5870942564095749E-5</v>
      </c>
      <c r="AM80" s="3">
        <f>Tabla9[[#This Row],[TEA DIARIA]]*Tabla9[[#This Row],[SALDO_PROM_CORREGIDO]]*Tabla9[[#This Row],[DIAS]]</f>
        <v>0</v>
      </c>
      <c r="AN80" s="3">
        <f>Tabla9[[#This Row],[TEA DIARIA]]*Tabla9[[#This Row],[COMPROMISO]]*Tabla9[[#This Row],[DIAS]]</f>
        <v>0</v>
      </c>
      <c r="AO80" s="14">
        <f>+Tabla9[[#This Row],[PROYECTADO_FTP_MONTO]]-Tabla9[[#This Row],[PROYECCION_INTERES]]</f>
        <v>0</v>
      </c>
      <c r="AP80" s="3">
        <f>Tabla9[[#This Row],[PROYECCION_MARGEN(FTP - Int compromiso)]]-Tabla9[[#This Row],[REAL_MARGEN(FTP - Int)]]</f>
        <v>468.12060000000002</v>
      </c>
    </row>
    <row r="81" spans="1:42" x14ac:dyDescent="0.35">
      <c r="A81">
        <v>202604</v>
      </c>
      <c r="B81" s="7">
        <v>46142</v>
      </c>
      <c r="C81">
        <v>6854442</v>
      </c>
      <c r="D81" t="s">
        <v>42</v>
      </c>
      <c r="E81" t="s">
        <v>48</v>
      </c>
      <c r="F81" t="s">
        <v>102</v>
      </c>
      <c r="G81" t="s">
        <v>48</v>
      </c>
      <c r="H81" t="s">
        <v>495</v>
      </c>
      <c r="I81" t="s">
        <v>243</v>
      </c>
      <c r="J81" t="str">
        <f t="shared" si="55"/>
        <v>4.4963</v>
      </c>
      <c r="K81" t="s">
        <v>32</v>
      </c>
      <c r="L81" t="s">
        <v>33</v>
      </c>
      <c r="M81" t="s">
        <v>31</v>
      </c>
      <c r="N81" t="s">
        <v>319</v>
      </c>
      <c r="O81" t="s">
        <v>44</v>
      </c>
      <c r="P81" s="3">
        <v>327774.3884</v>
      </c>
      <c r="Q81" s="3">
        <v>328365.56</v>
      </c>
      <c r="R81" s="4">
        <v>4.4999999999999998E-2</v>
      </c>
      <c r="T81" s="4">
        <v>0.02</v>
      </c>
      <c r="U81" s="4">
        <v>2.5000000000000001E-2</v>
      </c>
      <c r="V81" s="3">
        <v>1203.5385000000001</v>
      </c>
      <c r="W81" s="3">
        <v>541.31880000000001</v>
      </c>
      <c r="X81" s="3">
        <v>662.21969999999999</v>
      </c>
      <c r="Y81" s="3">
        <v>0</v>
      </c>
      <c r="Z81" s="3">
        <v>662.21969999999999</v>
      </c>
      <c r="AA81">
        <v>30</v>
      </c>
      <c r="AB81" t="b">
        <f t="shared" si="56"/>
        <v>1</v>
      </c>
      <c r="AD81" t="s">
        <v>46</v>
      </c>
      <c r="AE81" s="8">
        <v>46155.560022106481</v>
      </c>
      <c r="AF81" s="6" t="e">
        <f t="shared" si="57"/>
        <v>#DIV/0!</v>
      </c>
      <c r="AG81" s="6" t="e">
        <f>+Tabla9[[#This Row],[CUMPLIMIENTO]]&lt;100%</f>
        <v>#DIV/0!</v>
      </c>
      <c r="AH81" s="12">
        <f>((( (Tabla9[[#This Row],[FTP_CIERRE_MES]]/100)+1)^(30/360) -1)*(36000/30))/36000</f>
        <v>1.2239493171416853E-4</v>
      </c>
      <c r="AI81" s="3">
        <f>Tabla9[[#This Row],[FTP_DIARIO]]*Tabla9[[#This Row],[SALDO_PROM_CORREGIDO]]*Tabla9[[#This Row],[DIAS]]</f>
        <v>0</v>
      </c>
      <c r="AJ81" s="3">
        <f>Tabla9[[#This Row],[REAL_FTP_MONTO]]-Tabla9[[#This Row],[INT_REAL]]</f>
        <v>-541.31880000000001</v>
      </c>
      <c r="AK81" s="3">
        <f>Tabla9[[#This Row],[FTP_DIARIO]]*Tabla9[[#This Row],[COMPROMISO]]*Tabla9[[#This Row],[DIAS]]</f>
        <v>0</v>
      </c>
      <c r="AL81" s="13">
        <f>((( (Tabla9[[#This Row],[TASA_INT]])+1)^(30/360) -1)*(36000/30))/36000</f>
        <v>5.5052710064007471E-5</v>
      </c>
      <c r="AM81" s="3">
        <f>Tabla9[[#This Row],[TEA DIARIA]]*Tabla9[[#This Row],[SALDO_PROM_CORREGIDO]]*Tabla9[[#This Row],[DIAS]]</f>
        <v>0</v>
      </c>
      <c r="AN81" s="3">
        <f>Tabla9[[#This Row],[TEA DIARIA]]*Tabla9[[#This Row],[COMPROMISO]]*Tabla9[[#This Row],[DIAS]]</f>
        <v>0</v>
      </c>
      <c r="AO81" s="14">
        <f>+Tabla9[[#This Row],[PROYECTADO_FTP_MONTO]]-Tabla9[[#This Row],[PROYECCION_INTERES]]</f>
        <v>0</v>
      </c>
      <c r="AP81" s="3">
        <f>Tabla9[[#This Row],[PROYECCION_MARGEN(FTP - Int compromiso)]]-Tabla9[[#This Row],[REAL_MARGEN(FTP - Int)]]</f>
        <v>541.31880000000001</v>
      </c>
    </row>
    <row r="82" spans="1:42" x14ac:dyDescent="0.35">
      <c r="A82">
        <v>202604</v>
      </c>
      <c r="B82" s="7">
        <v>46142</v>
      </c>
      <c r="C82">
        <v>6854442</v>
      </c>
      <c r="D82" t="s">
        <v>42</v>
      </c>
      <c r="E82" t="s">
        <v>48</v>
      </c>
      <c r="F82" t="s">
        <v>102</v>
      </c>
      <c r="G82" t="s">
        <v>48</v>
      </c>
      <c r="H82" t="s">
        <v>495</v>
      </c>
      <c r="I82" t="s">
        <v>243</v>
      </c>
      <c r="J82" t="str">
        <f t="shared" si="55"/>
        <v>4.4963</v>
      </c>
      <c r="K82" t="s">
        <v>32</v>
      </c>
      <c r="L82" t="s">
        <v>41</v>
      </c>
      <c r="M82" t="s">
        <v>31</v>
      </c>
      <c r="N82" t="s">
        <v>320</v>
      </c>
      <c r="O82" t="s">
        <v>44</v>
      </c>
      <c r="P82" s="3">
        <v>376943.18969999999</v>
      </c>
      <c r="Q82" s="3">
        <v>250709.06</v>
      </c>
      <c r="R82" s="4">
        <v>4.4999999999999998E-2</v>
      </c>
      <c r="T82" s="4">
        <v>0.02</v>
      </c>
      <c r="U82" s="4">
        <v>2.5000000000000001E-2</v>
      </c>
      <c r="V82" s="3">
        <v>1384.0790999999999</v>
      </c>
      <c r="W82" s="3">
        <v>622.52880000000005</v>
      </c>
      <c r="X82" s="3">
        <v>761.55029999999999</v>
      </c>
      <c r="Y82" s="3">
        <v>0</v>
      </c>
      <c r="Z82" s="3">
        <v>761.55029999999999</v>
      </c>
      <c r="AA82">
        <v>30</v>
      </c>
      <c r="AB82" t="b">
        <f t="shared" si="56"/>
        <v>1</v>
      </c>
      <c r="AD82" t="s">
        <v>46</v>
      </c>
      <c r="AE82" s="8">
        <v>46155.560022106481</v>
      </c>
      <c r="AF82" s="6" t="e">
        <f t="shared" si="57"/>
        <v>#DIV/0!</v>
      </c>
      <c r="AG82" s="6" t="e">
        <f>+Tabla9[[#This Row],[CUMPLIMIENTO]]&lt;100%</f>
        <v>#DIV/0!</v>
      </c>
      <c r="AH82" s="12">
        <f>((( (Tabla9[[#This Row],[FTP_CIERRE_MES]]/100)+1)^(30/360) -1)*(36000/30))/36000</f>
        <v>1.2239493171416853E-4</v>
      </c>
      <c r="AI82" s="3">
        <f>Tabla9[[#This Row],[FTP_DIARIO]]*Tabla9[[#This Row],[SALDO_PROM_CORREGIDO]]*Tabla9[[#This Row],[DIAS]]</f>
        <v>0</v>
      </c>
      <c r="AJ82" s="3">
        <f>Tabla9[[#This Row],[REAL_FTP_MONTO]]-Tabla9[[#This Row],[INT_REAL]]</f>
        <v>-622.52880000000005</v>
      </c>
      <c r="AK82" s="3">
        <f>Tabla9[[#This Row],[FTP_DIARIO]]*Tabla9[[#This Row],[COMPROMISO]]*Tabla9[[#This Row],[DIAS]]</f>
        <v>0</v>
      </c>
      <c r="AL82" s="13">
        <f>((( (Tabla9[[#This Row],[TASA_INT]])+1)^(30/360) -1)*(36000/30))/36000</f>
        <v>5.5052710064007471E-5</v>
      </c>
      <c r="AM82" s="3">
        <f>Tabla9[[#This Row],[TEA DIARIA]]*Tabla9[[#This Row],[SALDO_PROM_CORREGIDO]]*Tabla9[[#This Row],[DIAS]]</f>
        <v>0</v>
      </c>
      <c r="AN82" s="3">
        <f>Tabla9[[#This Row],[TEA DIARIA]]*Tabla9[[#This Row],[COMPROMISO]]*Tabla9[[#This Row],[DIAS]]</f>
        <v>0</v>
      </c>
      <c r="AO82" s="14">
        <f>+Tabla9[[#This Row],[PROYECTADO_FTP_MONTO]]-Tabla9[[#This Row],[PROYECCION_INTERES]]</f>
        <v>0</v>
      </c>
      <c r="AP82" s="3">
        <f>Tabla9[[#This Row],[PROYECCION_MARGEN(FTP - Int compromiso)]]-Tabla9[[#This Row],[REAL_MARGEN(FTP - Int)]]</f>
        <v>622.52880000000005</v>
      </c>
    </row>
    <row r="83" spans="1:42" x14ac:dyDescent="0.35">
      <c r="A83">
        <v>202604</v>
      </c>
      <c r="B83" s="7">
        <v>46142</v>
      </c>
      <c r="C83">
        <v>6854442</v>
      </c>
      <c r="D83" t="s">
        <v>42</v>
      </c>
      <c r="E83" t="s">
        <v>48</v>
      </c>
      <c r="F83" t="s">
        <v>102</v>
      </c>
      <c r="G83" t="s">
        <v>48</v>
      </c>
      <c r="H83" t="s">
        <v>495</v>
      </c>
      <c r="I83" t="s">
        <v>243</v>
      </c>
      <c r="J83" t="str">
        <f t="shared" si="55"/>
        <v>4.4963</v>
      </c>
      <c r="K83" t="s">
        <v>32</v>
      </c>
      <c r="L83" t="s">
        <v>33</v>
      </c>
      <c r="M83" t="s">
        <v>31</v>
      </c>
      <c r="N83" t="s">
        <v>321</v>
      </c>
      <c r="O83" t="s">
        <v>44</v>
      </c>
      <c r="P83" s="3">
        <v>394416.90019999997</v>
      </c>
      <c r="Q83" s="3">
        <v>1001667.57</v>
      </c>
      <c r="R83" s="4">
        <v>4.4999999999999998E-2</v>
      </c>
      <c r="T83" s="4">
        <v>1.8599999999999998E-2</v>
      </c>
      <c r="U83" s="4">
        <v>2.64E-2</v>
      </c>
      <c r="V83" s="3">
        <v>1448.2393999999999</v>
      </c>
      <c r="W83" s="3">
        <v>606.49130000000002</v>
      </c>
      <c r="X83" s="3">
        <v>841.74810000000002</v>
      </c>
      <c r="Y83" s="3">
        <v>43.9499</v>
      </c>
      <c r="Z83" s="3">
        <v>797.79819999999995</v>
      </c>
      <c r="AA83">
        <v>30</v>
      </c>
      <c r="AB83" t="b">
        <f t="shared" si="56"/>
        <v>1</v>
      </c>
      <c r="AD83" t="s">
        <v>46</v>
      </c>
      <c r="AE83" s="8">
        <v>46155.560022106481</v>
      </c>
      <c r="AF83" s="6" t="e">
        <f t="shared" ref="AF83:AF91" si="58">S83/AC83</f>
        <v>#DIV/0!</v>
      </c>
      <c r="AG83" s="6" t="e">
        <f>+Tabla9[[#This Row],[CUMPLIMIENTO]]&lt;100%</f>
        <v>#DIV/0!</v>
      </c>
      <c r="AH83" s="12">
        <f>((( (Tabla9[[#This Row],[FTP_CIERRE_MES]]/100)+1)^(30/360) -1)*(36000/30))/36000</f>
        <v>1.2239493171416853E-4</v>
      </c>
      <c r="AI83" s="3">
        <f>Tabla9[[#This Row],[FTP_DIARIO]]*Tabla9[[#This Row],[SALDO_PROM_CORREGIDO]]*Tabla9[[#This Row],[DIAS]]</f>
        <v>0</v>
      </c>
      <c r="AJ83" s="3">
        <f>Tabla9[[#This Row],[REAL_FTP_MONTO]]-Tabla9[[#This Row],[INT_REAL]]</f>
        <v>-606.49130000000002</v>
      </c>
      <c r="AK83" s="3">
        <f>Tabla9[[#This Row],[FTP_DIARIO]]*Tabla9[[#This Row],[COMPROMISO]]*Tabla9[[#This Row],[DIAS]]</f>
        <v>0</v>
      </c>
      <c r="AL83" s="13">
        <f>((( (Tabla9[[#This Row],[TASA_INT]])+1)^(30/360) -1)*(36000/30))/36000</f>
        <v>5.1231372477637355E-5</v>
      </c>
      <c r="AM83" s="3">
        <f>Tabla9[[#This Row],[TEA DIARIA]]*Tabla9[[#This Row],[SALDO_PROM_CORREGIDO]]*Tabla9[[#This Row],[DIAS]]</f>
        <v>0</v>
      </c>
      <c r="AN83" s="3">
        <f>Tabla9[[#This Row],[TEA DIARIA]]*Tabla9[[#This Row],[COMPROMISO]]*Tabla9[[#This Row],[DIAS]]</f>
        <v>0</v>
      </c>
      <c r="AO83" s="14">
        <f>+Tabla9[[#This Row],[PROYECTADO_FTP_MONTO]]-Tabla9[[#This Row],[PROYECCION_INTERES]]</f>
        <v>0</v>
      </c>
      <c r="AP83" s="3">
        <f>Tabla9[[#This Row],[PROYECCION_MARGEN(FTP - Int compromiso)]]-Tabla9[[#This Row],[REAL_MARGEN(FTP - Int)]]</f>
        <v>606.49130000000002</v>
      </c>
    </row>
    <row r="84" spans="1:42" x14ac:dyDescent="0.35">
      <c r="A84">
        <v>202604</v>
      </c>
      <c r="B84" s="7">
        <v>46142</v>
      </c>
      <c r="C84">
        <v>6854442</v>
      </c>
      <c r="D84" t="s">
        <v>42</v>
      </c>
      <c r="E84" t="s">
        <v>48</v>
      </c>
      <c r="F84" t="s">
        <v>102</v>
      </c>
      <c r="G84" t="s">
        <v>48</v>
      </c>
      <c r="H84" t="s">
        <v>495</v>
      </c>
      <c r="I84" t="s">
        <v>243</v>
      </c>
      <c r="J84" t="str">
        <f t="shared" si="55"/>
        <v>4.4963</v>
      </c>
      <c r="K84" t="s">
        <v>32</v>
      </c>
      <c r="L84" t="s">
        <v>33</v>
      </c>
      <c r="M84" t="s">
        <v>31</v>
      </c>
      <c r="N84" t="s">
        <v>322</v>
      </c>
      <c r="O84" t="s">
        <v>44</v>
      </c>
      <c r="P84" s="3">
        <v>611346.97140000004</v>
      </c>
      <c r="Q84" s="3">
        <v>608896.06000000006</v>
      </c>
      <c r="R84" s="4">
        <v>4.4999999999999998E-2</v>
      </c>
      <c r="T84" s="4">
        <v>0.02</v>
      </c>
      <c r="U84" s="4">
        <v>2.5000000000000001E-2</v>
      </c>
      <c r="V84" s="3">
        <v>2244.7705999999998</v>
      </c>
      <c r="W84" s="3">
        <v>1009.6391</v>
      </c>
      <c r="X84" s="3">
        <v>1235.1315</v>
      </c>
      <c r="Y84" s="3">
        <v>0</v>
      </c>
      <c r="Z84" s="3">
        <v>1235.1315</v>
      </c>
      <c r="AA84">
        <v>30</v>
      </c>
      <c r="AB84" t="b">
        <f t="shared" si="56"/>
        <v>1</v>
      </c>
      <c r="AD84" t="s">
        <v>46</v>
      </c>
      <c r="AE84" s="8">
        <v>46155.560022106481</v>
      </c>
      <c r="AF84" s="6" t="e">
        <f t="shared" si="58"/>
        <v>#DIV/0!</v>
      </c>
      <c r="AG84" s="6" t="e">
        <f>+Tabla9[[#This Row],[CUMPLIMIENTO]]&lt;100%</f>
        <v>#DIV/0!</v>
      </c>
      <c r="AH84" s="12">
        <f>((( (Tabla9[[#This Row],[FTP_CIERRE_MES]]/100)+1)^(30/360) -1)*(36000/30))/36000</f>
        <v>1.2239493171416853E-4</v>
      </c>
      <c r="AI84" s="3">
        <f>Tabla9[[#This Row],[FTP_DIARIO]]*Tabla9[[#This Row],[SALDO_PROM_CORREGIDO]]*Tabla9[[#This Row],[DIAS]]</f>
        <v>0</v>
      </c>
      <c r="AJ84" s="3">
        <f>Tabla9[[#This Row],[REAL_FTP_MONTO]]-Tabla9[[#This Row],[INT_REAL]]</f>
        <v>-1009.6391</v>
      </c>
      <c r="AK84" s="3">
        <f>Tabla9[[#This Row],[FTP_DIARIO]]*Tabla9[[#This Row],[COMPROMISO]]*Tabla9[[#This Row],[DIAS]]</f>
        <v>0</v>
      </c>
      <c r="AL84" s="13">
        <f>((( (Tabla9[[#This Row],[TASA_INT]])+1)^(30/360) -1)*(36000/30))/36000</f>
        <v>5.5052710064007471E-5</v>
      </c>
      <c r="AM84" s="3">
        <f>Tabla9[[#This Row],[TEA DIARIA]]*Tabla9[[#This Row],[SALDO_PROM_CORREGIDO]]*Tabla9[[#This Row],[DIAS]]</f>
        <v>0</v>
      </c>
      <c r="AN84" s="3">
        <f>Tabla9[[#This Row],[TEA DIARIA]]*Tabla9[[#This Row],[COMPROMISO]]*Tabla9[[#This Row],[DIAS]]</f>
        <v>0</v>
      </c>
      <c r="AO84" s="14">
        <f>+Tabla9[[#This Row],[PROYECTADO_FTP_MONTO]]-Tabla9[[#This Row],[PROYECCION_INTERES]]</f>
        <v>0</v>
      </c>
      <c r="AP84" s="3">
        <f>Tabla9[[#This Row],[PROYECCION_MARGEN(FTP - Int compromiso)]]-Tabla9[[#This Row],[REAL_MARGEN(FTP - Int)]]</f>
        <v>1009.6391</v>
      </c>
    </row>
    <row r="85" spans="1:42" x14ac:dyDescent="0.35">
      <c r="A85">
        <v>202604</v>
      </c>
      <c r="B85" s="7">
        <v>46142</v>
      </c>
      <c r="C85">
        <v>6854442</v>
      </c>
      <c r="D85" t="s">
        <v>42</v>
      </c>
      <c r="E85" t="s">
        <v>48</v>
      </c>
      <c r="F85" t="s">
        <v>102</v>
      </c>
      <c r="G85" t="s">
        <v>48</v>
      </c>
      <c r="H85" t="s">
        <v>495</v>
      </c>
      <c r="I85" t="s">
        <v>243</v>
      </c>
      <c r="J85" t="str">
        <f t="shared" si="55"/>
        <v>4.4963</v>
      </c>
      <c r="K85" t="s">
        <v>32</v>
      </c>
      <c r="L85" t="s">
        <v>33</v>
      </c>
      <c r="M85" t="s">
        <v>31</v>
      </c>
      <c r="N85" t="s">
        <v>323</v>
      </c>
      <c r="O85" t="s">
        <v>44</v>
      </c>
      <c r="P85" s="3">
        <v>623353.86919999996</v>
      </c>
      <c r="Q85" s="3">
        <v>622221.43999999994</v>
      </c>
      <c r="R85" s="4">
        <v>4.4999999999999998E-2</v>
      </c>
      <c r="T85" s="4">
        <v>0.02</v>
      </c>
      <c r="U85" s="4">
        <v>2.5000000000000001E-2</v>
      </c>
      <c r="V85" s="3">
        <v>2288.8616000000002</v>
      </c>
      <c r="W85" s="3">
        <v>1029.4708000000001</v>
      </c>
      <c r="X85" s="3">
        <v>1259.3907999999999</v>
      </c>
      <c r="Y85" s="3">
        <v>0</v>
      </c>
      <c r="Z85" s="3">
        <v>1259.3907999999999</v>
      </c>
      <c r="AA85">
        <v>30</v>
      </c>
      <c r="AB85" t="b">
        <f t="shared" si="56"/>
        <v>1</v>
      </c>
      <c r="AD85" t="s">
        <v>46</v>
      </c>
      <c r="AE85" s="8">
        <v>46155.560022106481</v>
      </c>
      <c r="AF85" s="6" t="e">
        <f t="shared" si="58"/>
        <v>#DIV/0!</v>
      </c>
      <c r="AG85" s="6" t="e">
        <f>+Tabla9[[#This Row],[CUMPLIMIENTO]]&lt;100%</f>
        <v>#DIV/0!</v>
      </c>
      <c r="AH85" s="12">
        <f>((( (Tabla9[[#This Row],[FTP_CIERRE_MES]]/100)+1)^(30/360) -1)*(36000/30))/36000</f>
        <v>1.2239493171416853E-4</v>
      </c>
      <c r="AI85" s="3">
        <f>Tabla9[[#This Row],[FTP_DIARIO]]*Tabla9[[#This Row],[SALDO_PROM_CORREGIDO]]*Tabla9[[#This Row],[DIAS]]</f>
        <v>0</v>
      </c>
      <c r="AJ85" s="3">
        <f>Tabla9[[#This Row],[REAL_FTP_MONTO]]-Tabla9[[#This Row],[INT_REAL]]</f>
        <v>-1029.4708000000001</v>
      </c>
      <c r="AK85" s="3">
        <f>Tabla9[[#This Row],[FTP_DIARIO]]*Tabla9[[#This Row],[COMPROMISO]]*Tabla9[[#This Row],[DIAS]]</f>
        <v>0</v>
      </c>
      <c r="AL85" s="13">
        <f>((( (Tabla9[[#This Row],[TASA_INT]])+1)^(30/360) -1)*(36000/30))/36000</f>
        <v>5.5052710064007471E-5</v>
      </c>
      <c r="AM85" s="3">
        <f>Tabla9[[#This Row],[TEA DIARIA]]*Tabla9[[#This Row],[SALDO_PROM_CORREGIDO]]*Tabla9[[#This Row],[DIAS]]</f>
        <v>0</v>
      </c>
      <c r="AN85" s="3">
        <f>Tabla9[[#This Row],[TEA DIARIA]]*Tabla9[[#This Row],[COMPROMISO]]*Tabla9[[#This Row],[DIAS]]</f>
        <v>0</v>
      </c>
      <c r="AO85" s="14">
        <f>+Tabla9[[#This Row],[PROYECTADO_FTP_MONTO]]-Tabla9[[#This Row],[PROYECCION_INTERES]]</f>
        <v>0</v>
      </c>
      <c r="AP85" s="3">
        <f>Tabla9[[#This Row],[PROYECCION_MARGEN(FTP - Int compromiso)]]-Tabla9[[#This Row],[REAL_MARGEN(FTP - Int)]]</f>
        <v>1029.4708000000001</v>
      </c>
    </row>
    <row r="86" spans="1:42" x14ac:dyDescent="0.35">
      <c r="A86">
        <v>202604</v>
      </c>
      <c r="B86" s="7">
        <v>46142</v>
      </c>
      <c r="C86">
        <v>6854442</v>
      </c>
      <c r="D86" t="s">
        <v>42</v>
      </c>
      <c r="E86" t="s">
        <v>48</v>
      </c>
      <c r="F86" t="s">
        <v>102</v>
      </c>
      <c r="G86" t="s">
        <v>48</v>
      </c>
      <c r="H86" t="s">
        <v>495</v>
      </c>
      <c r="I86" t="s">
        <v>243</v>
      </c>
      <c r="J86" t="str">
        <f t="shared" si="55"/>
        <v>4.4963</v>
      </c>
      <c r="K86" t="s">
        <v>32</v>
      </c>
      <c r="L86" t="s">
        <v>33</v>
      </c>
      <c r="M86" t="s">
        <v>31</v>
      </c>
      <c r="N86" t="s">
        <v>324</v>
      </c>
      <c r="O86" t="s">
        <v>44</v>
      </c>
      <c r="P86" s="3">
        <v>675900.38089999999</v>
      </c>
      <c r="Q86" s="3">
        <v>638442.6</v>
      </c>
      <c r="R86" s="4">
        <v>4.4999999999999998E-2</v>
      </c>
      <c r="T86" s="4">
        <v>1.9900000000000001E-2</v>
      </c>
      <c r="U86" s="4">
        <v>2.5100000000000001E-2</v>
      </c>
      <c r="V86" s="3">
        <v>2481.8004999999998</v>
      </c>
      <c r="W86" s="3">
        <v>1111.1215</v>
      </c>
      <c r="X86" s="3">
        <v>1370.6790000000001</v>
      </c>
      <c r="Y86" s="3">
        <v>0</v>
      </c>
      <c r="Z86" s="3">
        <v>1370.6790000000001</v>
      </c>
      <c r="AA86">
        <v>30</v>
      </c>
      <c r="AB86" t="b">
        <f t="shared" si="56"/>
        <v>1</v>
      </c>
      <c r="AD86" t="s">
        <v>46</v>
      </c>
      <c r="AE86" s="8">
        <v>46155.560022106481</v>
      </c>
      <c r="AF86" s="6" t="e">
        <f t="shared" si="58"/>
        <v>#DIV/0!</v>
      </c>
      <c r="AG86" s="6" t="e">
        <f>+Tabla9[[#This Row],[CUMPLIMIENTO]]&lt;100%</f>
        <v>#DIV/0!</v>
      </c>
      <c r="AH86" s="12">
        <f>((( (Tabla9[[#This Row],[FTP_CIERRE_MES]]/100)+1)^(30/360) -1)*(36000/30))/36000</f>
        <v>1.2239493171416853E-4</v>
      </c>
      <c r="AI86" s="3">
        <f>Tabla9[[#This Row],[FTP_DIARIO]]*Tabla9[[#This Row],[SALDO_PROM_CORREGIDO]]*Tabla9[[#This Row],[DIAS]]</f>
        <v>0</v>
      </c>
      <c r="AJ86" s="3">
        <f>Tabla9[[#This Row],[REAL_FTP_MONTO]]-Tabla9[[#This Row],[INT_REAL]]</f>
        <v>-1111.1215</v>
      </c>
      <c r="AK86" s="3">
        <f>Tabla9[[#This Row],[FTP_DIARIO]]*Tabla9[[#This Row],[COMPROMISO]]*Tabla9[[#This Row],[DIAS]]</f>
        <v>0</v>
      </c>
      <c r="AL86" s="13">
        <f>((( (Tabla9[[#This Row],[TASA_INT]])+1)^(30/360) -1)*(36000/30))/36000</f>
        <v>5.477991687419988E-5</v>
      </c>
      <c r="AM86" s="3">
        <f>Tabla9[[#This Row],[TEA DIARIA]]*Tabla9[[#This Row],[SALDO_PROM_CORREGIDO]]*Tabla9[[#This Row],[DIAS]]</f>
        <v>0</v>
      </c>
      <c r="AN86" s="3">
        <f>Tabla9[[#This Row],[TEA DIARIA]]*Tabla9[[#This Row],[COMPROMISO]]*Tabla9[[#This Row],[DIAS]]</f>
        <v>0</v>
      </c>
      <c r="AO86" s="14">
        <f>+Tabla9[[#This Row],[PROYECTADO_FTP_MONTO]]-Tabla9[[#This Row],[PROYECCION_INTERES]]</f>
        <v>0</v>
      </c>
      <c r="AP86" s="3">
        <f>Tabla9[[#This Row],[PROYECCION_MARGEN(FTP - Int compromiso)]]-Tabla9[[#This Row],[REAL_MARGEN(FTP - Int)]]</f>
        <v>1111.1215</v>
      </c>
    </row>
    <row r="87" spans="1:42" x14ac:dyDescent="0.35">
      <c r="A87">
        <v>202604</v>
      </c>
      <c r="B87" s="7">
        <v>46142</v>
      </c>
      <c r="C87">
        <v>6854442</v>
      </c>
      <c r="D87" t="s">
        <v>42</v>
      </c>
      <c r="E87" t="s">
        <v>48</v>
      </c>
      <c r="F87" t="s">
        <v>102</v>
      </c>
      <c r="G87" t="s">
        <v>48</v>
      </c>
      <c r="H87" t="s">
        <v>495</v>
      </c>
      <c r="I87" t="s">
        <v>243</v>
      </c>
      <c r="J87" t="str">
        <f t="shared" si="55"/>
        <v>4.4963</v>
      </c>
      <c r="K87" t="s">
        <v>32</v>
      </c>
      <c r="L87" t="s">
        <v>41</v>
      </c>
      <c r="M87" t="s">
        <v>31</v>
      </c>
      <c r="N87" t="s">
        <v>260</v>
      </c>
      <c r="O87" t="s">
        <v>44</v>
      </c>
      <c r="P87" s="3">
        <v>703403.52969999996</v>
      </c>
      <c r="Q87" s="3">
        <v>704509.07</v>
      </c>
      <c r="R87" s="4">
        <v>4.4999999999999998E-2</v>
      </c>
      <c r="T87" s="4">
        <v>0.02</v>
      </c>
      <c r="U87" s="4">
        <v>2.5000000000000001E-2</v>
      </c>
      <c r="V87" s="3">
        <v>2582.7905999999998</v>
      </c>
      <c r="W87" s="3">
        <v>1161.6889000000001</v>
      </c>
      <c r="X87" s="3">
        <v>1421.1016999999999</v>
      </c>
      <c r="Y87" s="3">
        <v>0</v>
      </c>
      <c r="Z87" s="3">
        <v>1421.1016999999999</v>
      </c>
      <c r="AA87">
        <v>30</v>
      </c>
      <c r="AB87" t="b">
        <f t="shared" si="56"/>
        <v>1</v>
      </c>
      <c r="AD87" t="s">
        <v>46</v>
      </c>
      <c r="AE87" s="8">
        <v>46155.560022106481</v>
      </c>
      <c r="AF87" s="6" t="e">
        <f t="shared" si="58"/>
        <v>#DIV/0!</v>
      </c>
      <c r="AG87" s="6" t="e">
        <f>+Tabla9[[#This Row],[CUMPLIMIENTO]]&lt;100%</f>
        <v>#DIV/0!</v>
      </c>
      <c r="AH87" s="12">
        <f>((( (Tabla9[[#This Row],[FTP_CIERRE_MES]]/100)+1)^(30/360) -1)*(36000/30))/36000</f>
        <v>1.2239493171416853E-4</v>
      </c>
      <c r="AI87" s="3">
        <f>Tabla9[[#This Row],[FTP_DIARIO]]*Tabla9[[#This Row],[SALDO_PROM_CORREGIDO]]*Tabla9[[#This Row],[DIAS]]</f>
        <v>0</v>
      </c>
      <c r="AJ87" s="3">
        <f>Tabla9[[#This Row],[REAL_FTP_MONTO]]-Tabla9[[#This Row],[INT_REAL]]</f>
        <v>-1161.6889000000001</v>
      </c>
      <c r="AK87" s="3">
        <f>Tabla9[[#This Row],[FTP_DIARIO]]*Tabla9[[#This Row],[COMPROMISO]]*Tabla9[[#This Row],[DIAS]]</f>
        <v>0</v>
      </c>
      <c r="AL87" s="13">
        <f>((( (Tabla9[[#This Row],[TASA_INT]])+1)^(30/360) -1)*(36000/30))/36000</f>
        <v>5.5052710064007471E-5</v>
      </c>
      <c r="AM87" s="3">
        <f>Tabla9[[#This Row],[TEA DIARIA]]*Tabla9[[#This Row],[SALDO_PROM_CORREGIDO]]*Tabla9[[#This Row],[DIAS]]</f>
        <v>0</v>
      </c>
      <c r="AN87" s="3">
        <f>Tabla9[[#This Row],[TEA DIARIA]]*Tabla9[[#This Row],[COMPROMISO]]*Tabla9[[#This Row],[DIAS]]</f>
        <v>0</v>
      </c>
      <c r="AO87" s="14">
        <f>+Tabla9[[#This Row],[PROYECTADO_FTP_MONTO]]-Tabla9[[#This Row],[PROYECCION_INTERES]]</f>
        <v>0</v>
      </c>
      <c r="AP87" s="3">
        <f>Tabla9[[#This Row],[PROYECCION_MARGEN(FTP - Int compromiso)]]-Tabla9[[#This Row],[REAL_MARGEN(FTP - Int)]]</f>
        <v>1161.6889000000001</v>
      </c>
    </row>
    <row r="88" spans="1:42" x14ac:dyDescent="0.35">
      <c r="A88">
        <v>202604</v>
      </c>
      <c r="B88" s="7">
        <v>46142</v>
      </c>
      <c r="C88">
        <v>6854442</v>
      </c>
      <c r="D88" t="s">
        <v>42</v>
      </c>
      <c r="E88" t="s">
        <v>48</v>
      </c>
      <c r="F88" t="s">
        <v>102</v>
      </c>
      <c r="G88" t="s">
        <v>48</v>
      </c>
      <c r="H88" t="s">
        <v>495</v>
      </c>
      <c r="I88" t="s">
        <v>243</v>
      </c>
      <c r="J88" t="str">
        <f t="shared" si="55"/>
        <v>4.4963</v>
      </c>
      <c r="K88" t="s">
        <v>32</v>
      </c>
      <c r="L88" t="s">
        <v>41</v>
      </c>
      <c r="M88" t="s">
        <v>31</v>
      </c>
      <c r="N88" t="s">
        <v>325</v>
      </c>
      <c r="O88" t="s">
        <v>44</v>
      </c>
      <c r="P88" s="3">
        <v>977182.56110000005</v>
      </c>
      <c r="Q88" s="3">
        <v>978692.49</v>
      </c>
      <c r="R88" s="4">
        <v>4.4999999999999998E-2</v>
      </c>
      <c r="T88" s="4">
        <v>0.02</v>
      </c>
      <c r="U88" s="4">
        <v>2.5000000000000001E-2</v>
      </c>
      <c r="V88" s="3">
        <v>3588.0708</v>
      </c>
      <c r="W88" s="3">
        <v>1613.8407999999999</v>
      </c>
      <c r="X88" s="3">
        <v>1974.23</v>
      </c>
      <c r="Y88" s="3">
        <v>0</v>
      </c>
      <c r="Z88" s="3">
        <v>1974.23</v>
      </c>
      <c r="AA88">
        <v>30</v>
      </c>
      <c r="AB88" t="b">
        <f t="shared" si="56"/>
        <v>1</v>
      </c>
      <c r="AD88" t="s">
        <v>46</v>
      </c>
      <c r="AE88" s="8">
        <v>46155.560022106481</v>
      </c>
      <c r="AF88" s="6" t="e">
        <f t="shared" si="58"/>
        <v>#DIV/0!</v>
      </c>
      <c r="AG88" s="6" t="e">
        <f>+Tabla9[[#This Row],[CUMPLIMIENTO]]&lt;100%</f>
        <v>#DIV/0!</v>
      </c>
      <c r="AH88" s="12">
        <f>((( (Tabla9[[#This Row],[FTP_CIERRE_MES]]/100)+1)^(30/360) -1)*(36000/30))/36000</f>
        <v>1.2239493171416853E-4</v>
      </c>
      <c r="AI88" s="3">
        <f>Tabla9[[#This Row],[FTP_DIARIO]]*Tabla9[[#This Row],[SALDO_PROM_CORREGIDO]]*Tabla9[[#This Row],[DIAS]]</f>
        <v>0</v>
      </c>
      <c r="AJ88" s="3">
        <f>Tabla9[[#This Row],[REAL_FTP_MONTO]]-Tabla9[[#This Row],[INT_REAL]]</f>
        <v>-1613.8407999999999</v>
      </c>
      <c r="AK88" s="3">
        <f>Tabla9[[#This Row],[FTP_DIARIO]]*Tabla9[[#This Row],[COMPROMISO]]*Tabla9[[#This Row],[DIAS]]</f>
        <v>0</v>
      </c>
      <c r="AL88" s="13">
        <f>((( (Tabla9[[#This Row],[TASA_INT]])+1)^(30/360) -1)*(36000/30))/36000</f>
        <v>5.5052710064007471E-5</v>
      </c>
      <c r="AM88" s="3">
        <f>Tabla9[[#This Row],[TEA DIARIA]]*Tabla9[[#This Row],[SALDO_PROM_CORREGIDO]]*Tabla9[[#This Row],[DIAS]]</f>
        <v>0</v>
      </c>
      <c r="AN88" s="3">
        <f>Tabla9[[#This Row],[TEA DIARIA]]*Tabla9[[#This Row],[COMPROMISO]]*Tabla9[[#This Row],[DIAS]]</f>
        <v>0</v>
      </c>
      <c r="AO88" s="14">
        <f>+Tabla9[[#This Row],[PROYECTADO_FTP_MONTO]]-Tabla9[[#This Row],[PROYECCION_INTERES]]</f>
        <v>0</v>
      </c>
      <c r="AP88" s="3">
        <f>Tabla9[[#This Row],[PROYECCION_MARGEN(FTP - Int compromiso)]]-Tabla9[[#This Row],[REAL_MARGEN(FTP - Int)]]</f>
        <v>1613.8407999999999</v>
      </c>
    </row>
    <row r="89" spans="1:42" x14ac:dyDescent="0.35">
      <c r="A89">
        <v>202604</v>
      </c>
      <c r="B89" s="7">
        <v>46142</v>
      </c>
      <c r="C89">
        <v>6854442</v>
      </c>
      <c r="D89" t="s">
        <v>42</v>
      </c>
      <c r="E89" t="s">
        <v>48</v>
      </c>
      <c r="F89" t="s">
        <v>102</v>
      </c>
      <c r="G89" t="s">
        <v>48</v>
      </c>
      <c r="H89" t="s">
        <v>495</v>
      </c>
      <c r="I89" t="s">
        <v>243</v>
      </c>
      <c r="J89" t="str">
        <f t="shared" si="55"/>
        <v>4.4963</v>
      </c>
      <c r="K89" t="s">
        <v>32</v>
      </c>
      <c r="L89" t="s">
        <v>33</v>
      </c>
      <c r="M89" t="s">
        <v>31</v>
      </c>
      <c r="N89" t="s">
        <v>326</v>
      </c>
      <c r="O89" t="s">
        <v>44</v>
      </c>
      <c r="P89" s="3">
        <v>1750346.1495000001</v>
      </c>
      <c r="Q89" s="3">
        <v>1711614.12</v>
      </c>
      <c r="R89" s="4">
        <v>4.4999999999999998E-2</v>
      </c>
      <c r="T89" s="4">
        <v>0.02</v>
      </c>
      <c r="U89" s="4">
        <v>2.5000000000000001E-2</v>
      </c>
      <c r="V89" s="3">
        <v>6426.9998999999998</v>
      </c>
      <c r="W89" s="3">
        <v>2890.6912000000002</v>
      </c>
      <c r="X89" s="3">
        <v>3536.3087</v>
      </c>
      <c r="Y89" s="3">
        <v>0</v>
      </c>
      <c r="Z89" s="3">
        <v>3536.3087</v>
      </c>
      <c r="AA89">
        <v>30</v>
      </c>
      <c r="AB89" t="b">
        <f t="shared" si="56"/>
        <v>1</v>
      </c>
      <c r="AD89" t="s">
        <v>46</v>
      </c>
      <c r="AE89" s="8">
        <v>46155.560022106481</v>
      </c>
      <c r="AF89" s="6" t="e">
        <f t="shared" si="58"/>
        <v>#DIV/0!</v>
      </c>
      <c r="AG89" s="6" t="e">
        <f>+Tabla9[[#This Row],[CUMPLIMIENTO]]&lt;100%</f>
        <v>#DIV/0!</v>
      </c>
      <c r="AH89" s="12">
        <f>((( (Tabla9[[#This Row],[FTP_CIERRE_MES]]/100)+1)^(30/360) -1)*(36000/30))/36000</f>
        <v>1.2239493171416853E-4</v>
      </c>
      <c r="AI89" s="3">
        <f>Tabla9[[#This Row],[FTP_DIARIO]]*Tabla9[[#This Row],[SALDO_PROM_CORREGIDO]]*Tabla9[[#This Row],[DIAS]]</f>
        <v>0</v>
      </c>
      <c r="AJ89" s="3">
        <f>Tabla9[[#This Row],[REAL_FTP_MONTO]]-Tabla9[[#This Row],[INT_REAL]]</f>
        <v>-2890.6912000000002</v>
      </c>
      <c r="AK89" s="3">
        <f>Tabla9[[#This Row],[FTP_DIARIO]]*Tabla9[[#This Row],[COMPROMISO]]*Tabla9[[#This Row],[DIAS]]</f>
        <v>0</v>
      </c>
      <c r="AL89" s="13">
        <f>((( (Tabla9[[#This Row],[TASA_INT]])+1)^(30/360) -1)*(36000/30))/36000</f>
        <v>5.5052710064007471E-5</v>
      </c>
      <c r="AM89" s="3">
        <f>Tabla9[[#This Row],[TEA DIARIA]]*Tabla9[[#This Row],[SALDO_PROM_CORREGIDO]]*Tabla9[[#This Row],[DIAS]]</f>
        <v>0</v>
      </c>
      <c r="AN89" s="3">
        <f>Tabla9[[#This Row],[TEA DIARIA]]*Tabla9[[#This Row],[COMPROMISO]]*Tabla9[[#This Row],[DIAS]]</f>
        <v>0</v>
      </c>
      <c r="AO89" s="14">
        <f>+Tabla9[[#This Row],[PROYECTADO_FTP_MONTO]]-Tabla9[[#This Row],[PROYECCION_INTERES]]</f>
        <v>0</v>
      </c>
      <c r="AP89" s="3">
        <f>Tabla9[[#This Row],[PROYECCION_MARGEN(FTP - Int compromiso)]]-Tabla9[[#This Row],[REAL_MARGEN(FTP - Int)]]</f>
        <v>2890.6912000000002</v>
      </c>
    </row>
    <row r="90" spans="1:42" x14ac:dyDescent="0.35">
      <c r="A90">
        <v>202604</v>
      </c>
      <c r="B90" s="7">
        <v>46142</v>
      </c>
      <c r="C90">
        <v>6854442</v>
      </c>
      <c r="D90" t="s">
        <v>42</v>
      </c>
      <c r="E90" t="s">
        <v>48</v>
      </c>
      <c r="F90" t="s">
        <v>102</v>
      </c>
      <c r="G90" t="s">
        <v>48</v>
      </c>
      <c r="H90" t="s">
        <v>495</v>
      </c>
      <c r="I90" t="s">
        <v>243</v>
      </c>
      <c r="J90" t="str">
        <f t="shared" si="55"/>
        <v>4.4963</v>
      </c>
      <c r="K90" t="s">
        <v>32</v>
      </c>
      <c r="L90" t="s">
        <v>41</v>
      </c>
      <c r="M90" t="s">
        <v>31</v>
      </c>
      <c r="N90" t="s">
        <v>327</v>
      </c>
      <c r="O90" t="s">
        <v>44</v>
      </c>
      <c r="P90" s="3">
        <v>2147999.0392999998</v>
      </c>
      <c r="Q90" s="3">
        <v>2232363.06</v>
      </c>
      <c r="R90" s="4">
        <v>4.4999999999999998E-2</v>
      </c>
      <c r="T90" s="4">
        <v>0.02</v>
      </c>
      <c r="U90" s="4">
        <v>2.5000000000000001E-2</v>
      </c>
      <c r="V90" s="3">
        <v>7887.1314000000002</v>
      </c>
      <c r="W90" s="3">
        <v>3547.3195000000001</v>
      </c>
      <c r="X90" s="3">
        <v>4339.8118999999997</v>
      </c>
      <c r="Y90" s="3">
        <v>0</v>
      </c>
      <c r="Z90" s="3">
        <v>4339.8118999999997</v>
      </c>
      <c r="AA90">
        <v>30</v>
      </c>
      <c r="AB90" t="b">
        <f t="shared" si="56"/>
        <v>1</v>
      </c>
      <c r="AD90" t="s">
        <v>46</v>
      </c>
      <c r="AE90" s="8">
        <v>46155.560022106481</v>
      </c>
      <c r="AF90" s="6" t="e">
        <f t="shared" si="58"/>
        <v>#DIV/0!</v>
      </c>
      <c r="AG90" s="6" t="e">
        <f>+Tabla9[[#This Row],[CUMPLIMIENTO]]&lt;100%</f>
        <v>#DIV/0!</v>
      </c>
      <c r="AH90" s="12">
        <f>((( (Tabla9[[#This Row],[FTP_CIERRE_MES]]/100)+1)^(30/360) -1)*(36000/30))/36000</f>
        <v>1.2239493171416853E-4</v>
      </c>
      <c r="AI90" s="3">
        <f>Tabla9[[#This Row],[FTP_DIARIO]]*Tabla9[[#This Row],[SALDO_PROM_CORREGIDO]]*Tabla9[[#This Row],[DIAS]]</f>
        <v>0</v>
      </c>
      <c r="AJ90" s="3">
        <f>Tabla9[[#This Row],[REAL_FTP_MONTO]]-Tabla9[[#This Row],[INT_REAL]]</f>
        <v>-3547.3195000000001</v>
      </c>
      <c r="AK90" s="3">
        <f>Tabla9[[#This Row],[FTP_DIARIO]]*Tabla9[[#This Row],[COMPROMISO]]*Tabla9[[#This Row],[DIAS]]</f>
        <v>0</v>
      </c>
      <c r="AL90" s="13">
        <f>((( (Tabla9[[#This Row],[TASA_INT]])+1)^(30/360) -1)*(36000/30))/36000</f>
        <v>5.5052710064007471E-5</v>
      </c>
      <c r="AM90" s="3">
        <f>Tabla9[[#This Row],[TEA DIARIA]]*Tabla9[[#This Row],[SALDO_PROM_CORREGIDO]]*Tabla9[[#This Row],[DIAS]]</f>
        <v>0</v>
      </c>
      <c r="AN90" s="3">
        <f>Tabla9[[#This Row],[TEA DIARIA]]*Tabla9[[#This Row],[COMPROMISO]]*Tabla9[[#This Row],[DIAS]]</f>
        <v>0</v>
      </c>
      <c r="AO90" s="14">
        <f>+Tabla9[[#This Row],[PROYECTADO_FTP_MONTO]]-Tabla9[[#This Row],[PROYECCION_INTERES]]</f>
        <v>0</v>
      </c>
      <c r="AP90" s="3">
        <f>Tabla9[[#This Row],[PROYECCION_MARGEN(FTP - Int compromiso)]]-Tabla9[[#This Row],[REAL_MARGEN(FTP - Int)]]</f>
        <v>3547.3195000000001</v>
      </c>
    </row>
    <row r="91" spans="1:42" x14ac:dyDescent="0.35">
      <c r="A91">
        <v>202604</v>
      </c>
      <c r="B91" s="7">
        <v>46142</v>
      </c>
      <c r="C91">
        <v>6854442</v>
      </c>
      <c r="D91" t="s">
        <v>42</v>
      </c>
      <c r="E91" t="s">
        <v>48</v>
      </c>
      <c r="F91" t="s">
        <v>102</v>
      </c>
      <c r="G91" t="s">
        <v>48</v>
      </c>
      <c r="H91" t="s">
        <v>495</v>
      </c>
      <c r="I91" t="s">
        <v>243</v>
      </c>
      <c r="J91" t="str">
        <f t="shared" si="55"/>
        <v>4.4963</v>
      </c>
      <c r="K91" t="s">
        <v>32</v>
      </c>
      <c r="L91" t="s">
        <v>33</v>
      </c>
      <c r="M91" t="s">
        <v>31</v>
      </c>
      <c r="N91" t="s">
        <v>328</v>
      </c>
      <c r="O91" t="s">
        <v>44</v>
      </c>
      <c r="P91" s="3">
        <v>29995649.029100001</v>
      </c>
      <c r="Q91" s="3">
        <v>29908907.969999999</v>
      </c>
      <c r="R91" s="4">
        <v>4.4999999999999998E-2</v>
      </c>
      <c r="S91" s="11">
        <f>SUM(P75:P91)</f>
        <v>39481685.636</v>
      </c>
      <c r="T91" s="4">
        <v>0.02</v>
      </c>
      <c r="U91" s="4">
        <v>2.5000000000000001E-2</v>
      </c>
      <c r="V91" s="3">
        <v>110139.45940000001</v>
      </c>
      <c r="W91" s="3">
        <v>49537.529399999999</v>
      </c>
      <c r="X91" s="3">
        <v>60601.93</v>
      </c>
      <c r="Y91" s="3">
        <v>0</v>
      </c>
      <c r="Z91" s="3">
        <v>60601.93</v>
      </c>
      <c r="AA91">
        <v>30</v>
      </c>
      <c r="AB91" t="b">
        <f t="shared" si="56"/>
        <v>1</v>
      </c>
      <c r="AC91" s="10">
        <v>31000000</v>
      </c>
      <c r="AD91" t="s">
        <v>46</v>
      </c>
      <c r="AE91" s="8">
        <v>46155.560022106481</v>
      </c>
      <c r="AF91" s="6">
        <f t="shared" si="58"/>
        <v>1.2736027624516129</v>
      </c>
      <c r="AG91" s="6" t="b">
        <f>+Tabla9[[#This Row],[CUMPLIMIENTO]]&lt;100%</f>
        <v>0</v>
      </c>
      <c r="AH91" s="12">
        <f>((( (Tabla9[[#This Row],[FTP_CIERRE_MES]]/100)+1)^(30/360) -1)*(36000/30))/36000</f>
        <v>1.2239493171416853E-4</v>
      </c>
      <c r="AI91" s="3">
        <f>Tabla9[[#This Row],[FTP_DIARIO]]*Tabla9[[#This Row],[SALDO_PROM_CORREGIDO]]*Tabla9[[#This Row],[DIAS]]</f>
        <v>144970.74652135465</v>
      </c>
      <c r="AJ91" s="3">
        <f>Tabla9[[#This Row],[REAL_FTP_MONTO]]-Tabla9[[#This Row],[INT_REAL]]</f>
        <v>95433.217121354654</v>
      </c>
      <c r="AK91" s="3">
        <f>Tabla9[[#This Row],[FTP_DIARIO]]*Tabla9[[#This Row],[COMPROMISO]]*Tabla9[[#This Row],[DIAS]]</f>
        <v>113827.28649417673</v>
      </c>
      <c r="AL91" s="13">
        <f>((( (Tabla9[[#This Row],[TASA_INT]])+1)^(30/360) -1)*(36000/30))/36000</f>
        <v>5.5052710064007471E-5</v>
      </c>
      <c r="AM91" s="3">
        <f>Tabla9[[#This Row],[TEA DIARIA]]*Tabla9[[#This Row],[SALDO_PROM_CORREGIDO]]*Tabla9[[#This Row],[DIAS]]</f>
        <v>65207.213764709886</v>
      </c>
      <c r="AN91" s="3">
        <f>Tabla9[[#This Row],[TEA DIARIA]]*Tabla9[[#This Row],[COMPROMISO]]*Tabla9[[#This Row],[DIAS]]</f>
        <v>51199.020359526949</v>
      </c>
      <c r="AO91" s="14">
        <f>+Tabla9[[#This Row],[PROYECTADO_FTP_MONTO]]-Tabla9[[#This Row],[PROYECCION_INTERES]]</f>
        <v>62628.266134649784</v>
      </c>
      <c r="AP91" s="3">
        <f>Tabla9[[#This Row],[PROYECCION_MARGEN(FTP - Int compromiso)]]-Tabla9[[#This Row],[REAL_MARGEN(FTP - Int)]]</f>
        <v>-32804.950986704869</v>
      </c>
    </row>
    <row r="92" spans="1:42" x14ac:dyDescent="0.35">
      <c r="A92">
        <v>202604</v>
      </c>
      <c r="B92" s="7">
        <v>46142</v>
      </c>
      <c r="C92">
        <v>7315872</v>
      </c>
      <c r="D92" t="s">
        <v>36</v>
      </c>
      <c r="E92" t="s">
        <v>38</v>
      </c>
      <c r="F92" t="s">
        <v>103</v>
      </c>
      <c r="G92" t="s">
        <v>38</v>
      </c>
      <c r="H92" t="s">
        <v>507</v>
      </c>
      <c r="I92" t="s">
        <v>244</v>
      </c>
      <c r="J92" t="str">
        <f t="shared" ref="J92:J94" si="59">IF(I92="SOLES","4.4963","3.388")</f>
        <v>3.388</v>
      </c>
      <c r="K92" t="s">
        <v>32</v>
      </c>
      <c r="L92" t="s">
        <v>33</v>
      </c>
      <c r="M92" t="s">
        <v>34</v>
      </c>
      <c r="N92" t="s">
        <v>329</v>
      </c>
      <c r="O92" t="s">
        <v>44</v>
      </c>
      <c r="P92" s="3">
        <v>4414900.7822000002</v>
      </c>
      <c r="Q92" s="3">
        <v>3490975.0441000001</v>
      </c>
      <c r="R92" s="4">
        <v>3.39E-2</v>
      </c>
      <c r="S92" s="3">
        <f>+Tabla9[[#This Row],[SAL_PROM_SOL]]</f>
        <v>4414900.7822000002</v>
      </c>
      <c r="T92" s="4">
        <v>1.9E-2</v>
      </c>
      <c r="U92" s="4">
        <v>1.49E-2</v>
      </c>
      <c r="V92" s="3">
        <v>12275.259</v>
      </c>
      <c r="W92" s="3">
        <v>6929.7605000000003</v>
      </c>
      <c r="X92" s="3">
        <v>5345.4984999999997</v>
      </c>
      <c r="Y92" s="3">
        <v>0</v>
      </c>
      <c r="Z92" s="3">
        <v>5345.4984999999997</v>
      </c>
      <c r="AA92">
        <v>30</v>
      </c>
      <c r="AB92" t="b">
        <f t="shared" ref="AB92:AB123" si="60">+AA92=30</f>
        <v>1</v>
      </c>
      <c r="AC92" s="3">
        <v>500000</v>
      </c>
      <c r="AD92" t="s">
        <v>46</v>
      </c>
      <c r="AE92" s="8">
        <v>46155.560022106481</v>
      </c>
      <c r="AF92" s="6">
        <f t="shared" ref="AF92:AF94" si="61">S92/AC92</f>
        <v>8.8298015644000003</v>
      </c>
      <c r="AG92" s="6" t="b">
        <f>+Tabla9[[#This Row],[CUMPLIMIENTO]]&lt;100%</f>
        <v>0</v>
      </c>
      <c r="AH92" s="12">
        <f>((( (Tabla9[[#This Row],[FTP_CIERRE_MES]]/100)+1)^(30/360) -1)*(36000/30))/36000</f>
        <v>9.2680593701059222E-5</v>
      </c>
      <c r="AI92" s="3">
        <f>Tabla9[[#This Row],[FTP_DIARIO]]*Tabla9[[#This Row],[SALDO_PROM_CORREGIDO]]*Tabla9[[#This Row],[DIAS]]</f>
        <v>12275.268768767004</v>
      </c>
      <c r="AJ92" s="3">
        <f>Tabla9[[#This Row],[REAL_FTP_MONTO]]-Tabla9[[#This Row],[INT_REAL]]</f>
        <v>5345.5082687670038</v>
      </c>
      <c r="AK92" s="3">
        <f>Tabla9[[#This Row],[FTP_DIARIO]]*Tabla9[[#This Row],[COMPROMISO]]*Tabla9[[#This Row],[DIAS]]</f>
        <v>1390.2089055158883</v>
      </c>
      <c r="AL92" s="13">
        <f>((( (Tabla9[[#This Row],[TASA_INT]])+1)^(30/360) -1)*(36000/30))/36000</f>
        <v>5.2323674247123364E-5</v>
      </c>
      <c r="AM92" s="3">
        <f>Tabla9[[#This Row],[TEA DIARIA]]*Tabla9[[#This Row],[SALDO_PROM_CORREGIDO]]*Tabla9[[#This Row],[DIAS]]</f>
        <v>6930.1149108360887</v>
      </c>
      <c r="AN92" s="3">
        <f>Tabla9[[#This Row],[TEA DIARIA]]*Tabla9[[#This Row],[COMPROMISO]]*Tabla9[[#This Row],[DIAS]]</f>
        <v>784.85511370685049</v>
      </c>
      <c r="AO92" s="14">
        <f>+Tabla9[[#This Row],[PROYECTADO_FTP_MONTO]]-Tabla9[[#This Row],[PROYECCION_INTERES]]</f>
        <v>605.35379180903783</v>
      </c>
      <c r="AP92" s="3">
        <f>Tabla9[[#This Row],[PROYECCION_MARGEN(FTP - Int compromiso)]]-Tabla9[[#This Row],[REAL_MARGEN(FTP - Int)]]</f>
        <v>-4740.1544769579659</v>
      </c>
    </row>
    <row r="93" spans="1:42" x14ac:dyDescent="0.35">
      <c r="A93">
        <v>202604</v>
      </c>
      <c r="B93" s="7">
        <v>46142</v>
      </c>
      <c r="C93">
        <v>7315872</v>
      </c>
      <c r="D93" t="s">
        <v>36</v>
      </c>
      <c r="E93" t="s">
        <v>38</v>
      </c>
      <c r="F93" t="s">
        <v>103</v>
      </c>
      <c r="G93" t="s">
        <v>38</v>
      </c>
      <c r="H93" t="s">
        <v>507</v>
      </c>
      <c r="I93" t="s">
        <v>243</v>
      </c>
      <c r="J93" t="str">
        <f t="shared" si="59"/>
        <v>4.4963</v>
      </c>
      <c r="K93" t="s">
        <v>32</v>
      </c>
      <c r="L93" t="s">
        <v>33</v>
      </c>
      <c r="M93" t="s">
        <v>31</v>
      </c>
      <c r="N93" t="s">
        <v>330</v>
      </c>
      <c r="O93" t="s">
        <v>44</v>
      </c>
      <c r="P93" s="3">
        <v>1994.8398</v>
      </c>
      <c r="Q93" s="3">
        <v>1787.43</v>
      </c>
      <c r="R93" s="4">
        <v>4.4900000000000002E-2</v>
      </c>
      <c r="S93" s="3">
        <f>+Tabla9[[#This Row],[SAL_PROM_SOL]]</f>
        <v>1994.8398</v>
      </c>
      <c r="T93" s="4">
        <v>1.78E-2</v>
      </c>
      <c r="U93" s="4">
        <v>2.7099999999999999E-2</v>
      </c>
      <c r="V93" s="3">
        <v>7.3197999999999999</v>
      </c>
      <c r="W93" s="3">
        <v>2.93</v>
      </c>
      <c r="X93" s="3">
        <v>4.3898000000000001</v>
      </c>
      <c r="Y93" s="3">
        <v>0</v>
      </c>
      <c r="Z93" s="3">
        <v>4.3898000000000001</v>
      </c>
      <c r="AA93">
        <v>30</v>
      </c>
      <c r="AB93" t="b">
        <f t="shared" si="60"/>
        <v>1</v>
      </c>
      <c r="AC93" s="3">
        <v>100000</v>
      </c>
      <c r="AD93" t="s">
        <v>46</v>
      </c>
      <c r="AE93" s="8">
        <v>46155.560022106481</v>
      </c>
      <c r="AF93" s="6">
        <f t="shared" si="61"/>
        <v>1.9948397999999999E-2</v>
      </c>
      <c r="AG93" s="6" t="b">
        <f>+Tabla9[[#This Row],[CUMPLIMIENTO]]&lt;100%</f>
        <v>1</v>
      </c>
      <c r="AH93" s="12">
        <f>((( (Tabla9[[#This Row],[FTP_CIERRE_MES]]/100)+1)^(30/360) -1)*(36000/30))/36000</f>
        <v>1.2239493171416853E-4</v>
      </c>
      <c r="AI93" s="3">
        <f>Tabla9[[#This Row],[FTP_DIARIO]]*Tabla9[[#This Row],[SALDO_PROM_CORREGIDO]]*Tabla9[[#This Row],[DIAS]]</f>
        <v>7.3247484330511679</v>
      </c>
      <c r="AJ93" s="3">
        <f>Tabla9[[#This Row],[REAL_FTP_MONTO]]-Tabla9[[#This Row],[INT_REAL]]</f>
        <v>4.3947484330511681</v>
      </c>
      <c r="AK93" s="3">
        <f>Tabla9[[#This Row],[FTP_DIARIO]]*Tabla9[[#This Row],[COMPROMISO]]*Tabla9[[#This Row],[DIAS]]</f>
        <v>367.18479514250555</v>
      </c>
      <c r="AL93" s="13">
        <f>((( (Tabla9[[#This Row],[TASA_INT]])+1)^(30/360) -1)*(36000/30))/36000</f>
        <v>4.9045588838573613E-5</v>
      </c>
      <c r="AM93" s="3">
        <f>Tabla9[[#This Row],[TEA DIARIA]]*Tabla9[[#This Row],[SALDO_PROM_CORREGIDO]]*Tabla9[[#This Row],[DIAS]]</f>
        <v>2.9351427788886721</v>
      </c>
      <c r="AN93" s="3">
        <f>Tabla9[[#This Row],[TEA DIARIA]]*Tabla9[[#This Row],[COMPROMISO]]*Tabla9[[#This Row],[DIAS]]</f>
        <v>147.13676651572084</v>
      </c>
      <c r="AO93" s="14">
        <f>+Tabla9[[#This Row],[PROYECTADO_FTP_MONTO]]-Tabla9[[#This Row],[PROYECCION_INTERES]]</f>
        <v>220.04802862678471</v>
      </c>
      <c r="AP93" s="3">
        <f>Tabla9[[#This Row],[PROYECCION_MARGEN(FTP - Int compromiso)]]-Tabla9[[#This Row],[REAL_MARGEN(FTP - Int)]]</f>
        <v>215.65328019373354</v>
      </c>
    </row>
    <row r="94" spans="1:42" x14ac:dyDescent="0.35">
      <c r="A94">
        <v>202604</v>
      </c>
      <c r="B94" s="7">
        <v>46142</v>
      </c>
      <c r="C94">
        <v>7315872</v>
      </c>
      <c r="D94" t="s">
        <v>36</v>
      </c>
      <c r="E94" t="s">
        <v>38</v>
      </c>
      <c r="F94" t="s">
        <v>103</v>
      </c>
      <c r="G94" t="s">
        <v>38</v>
      </c>
      <c r="H94" t="s">
        <v>507</v>
      </c>
      <c r="I94" t="s">
        <v>243</v>
      </c>
      <c r="J94" t="str">
        <f t="shared" si="59"/>
        <v>4.4963</v>
      </c>
      <c r="K94" t="s">
        <v>32</v>
      </c>
      <c r="L94" t="s">
        <v>33</v>
      </c>
      <c r="M94" t="s">
        <v>31</v>
      </c>
      <c r="N94" t="s">
        <v>331</v>
      </c>
      <c r="O94" t="s">
        <v>44</v>
      </c>
      <c r="P94" s="3">
        <v>1244270.4697</v>
      </c>
      <c r="Q94" s="3">
        <v>213972.54</v>
      </c>
      <c r="R94" s="4">
        <v>4.4999999999999998E-2</v>
      </c>
      <c r="S94" s="3">
        <f>+Tabla9[[#This Row],[SAL_PROM_SOL]]</f>
        <v>1244270.4697</v>
      </c>
      <c r="T94" s="4">
        <v>0.02</v>
      </c>
      <c r="U94" s="4">
        <v>2.5000000000000001E-2</v>
      </c>
      <c r="V94" s="3">
        <v>4568.7714999999998</v>
      </c>
      <c r="W94" s="3">
        <v>2054.8995</v>
      </c>
      <c r="X94" s="3">
        <v>2513.8719999999998</v>
      </c>
      <c r="Y94" s="3">
        <v>43.9499</v>
      </c>
      <c r="Z94" s="3">
        <v>2469.9220999999998</v>
      </c>
      <c r="AA94">
        <v>30</v>
      </c>
      <c r="AB94" t="b">
        <f t="shared" si="60"/>
        <v>1</v>
      </c>
      <c r="AC94" s="3">
        <v>100000</v>
      </c>
      <c r="AD94" t="s">
        <v>46</v>
      </c>
      <c r="AE94" s="8">
        <v>46155.560022106481</v>
      </c>
      <c r="AF94" s="6">
        <f t="shared" si="61"/>
        <v>12.442704697</v>
      </c>
      <c r="AG94" s="6" t="b">
        <f>+Tabla9[[#This Row],[CUMPLIMIENTO]]&lt;100%</f>
        <v>0</v>
      </c>
      <c r="AH94" s="12">
        <f>((( (Tabla9[[#This Row],[FTP_CIERRE_MES]]/100)+1)^(30/360) -1)*(36000/30))/36000</f>
        <v>1.2239493171416853E-4</v>
      </c>
      <c r="AI94" s="3">
        <f>Tabla9[[#This Row],[FTP_DIARIO]]*Tabla9[[#This Row],[SALDO_PROM_CORREGIDO]]*Tabla9[[#This Row],[DIAS]]</f>
        <v>4568.7719751866371</v>
      </c>
      <c r="AJ94" s="3">
        <f>Tabla9[[#This Row],[REAL_FTP_MONTO]]-Tabla9[[#This Row],[INT_REAL]]</f>
        <v>2513.8724751866371</v>
      </c>
      <c r="AK94" s="3">
        <f>Tabla9[[#This Row],[FTP_DIARIO]]*Tabla9[[#This Row],[COMPROMISO]]*Tabla9[[#This Row],[DIAS]]</f>
        <v>367.18479514250555</v>
      </c>
      <c r="AL94" s="13">
        <f>((( (Tabla9[[#This Row],[TASA_INT]])+1)^(30/360) -1)*(36000/30))/36000</f>
        <v>5.5052710064007471E-5</v>
      </c>
      <c r="AM94" s="3">
        <f>Tabla9[[#This Row],[TEA DIARIA]]*Tabla9[[#This Row],[SALDO_PROM_CORREGIDO]]*Tabla9[[#This Row],[DIAS]]</f>
        <v>2055.0138422880145</v>
      </c>
      <c r="AN94" s="3">
        <f>Tabla9[[#This Row],[TEA DIARIA]]*Tabla9[[#This Row],[COMPROMISO]]*Tabla9[[#This Row],[DIAS]]</f>
        <v>165.15813019202241</v>
      </c>
      <c r="AO94" s="14">
        <f>+Tabla9[[#This Row],[PROYECTADO_FTP_MONTO]]-Tabla9[[#This Row],[PROYECCION_INTERES]]</f>
        <v>202.02666495048314</v>
      </c>
      <c r="AP94" s="3">
        <f>Tabla9[[#This Row],[PROYECCION_MARGEN(FTP - Int compromiso)]]-Tabla9[[#This Row],[REAL_MARGEN(FTP - Int)]]</f>
        <v>-2311.8458102361537</v>
      </c>
    </row>
    <row r="95" spans="1:42" x14ac:dyDescent="0.35">
      <c r="A95">
        <v>202604</v>
      </c>
      <c r="B95" s="7">
        <v>46142</v>
      </c>
      <c r="C95">
        <v>7376155</v>
      </c>
      <c r="D95" t="s">
        <v>36</v>
      </c>
      <c r="E95" t="s">
        <v>37</v>
      </c>
      <c r="F95" t="s">
        <v>104</v>
      </c>
      <c r="G95" t="s">
        <v>37</v>
      </c>
      <c r="H95" t="s">
        <v>491</v>
      </c>
      <c r="I95" t="s">
        <v>243</v>
      </c>
      <c r="J95" t="str">
        <f t="shared" ref="J95" si="62">IF(I95="SOLES","4.4963","3.388")</f>
        <v>4.4963</v>
      </c>
      <c r="K95" t="s">
        <v>32</v>
      </c>
      <c r="L95" t="s">
        <v>33</v>
      </c>
      <c r="M95" t="s">
        <v>31</v>
      </c>
      <c r="N95" t="s">
        <v>332</v>
      </c>
      <c r="O95" t="s">
        <v>44</v>
      </c>
      <c r="P95" s="3">
        <v>637484.33030000003</v>
      </c>
      <c r="Q95" s="3">
        <v>65525.1</v>
      </c>
      <c r="R95" s="4">
        <v>4.4999999999999998E-2</v>
      </c>
      <c r="S95" s="3">
        <f>+Tabla9[[#This Row],[SAL_PROM_SOL]]</f>
        <v>637484.33030000003</v>
      </c>
      <c r="T95" s="4">
        <v>7.4999999999999997E-3</v>
      </c>
      <c r="U95" s="4">
        <v>3.7499999999999999E-2</v>
      </c>
      <c r="V95" s="3">
        <v>2340.7511</v>
      </c>
      <c r="W95" s="3">
        <v>395.6592</v>
      </c>
      <c r="X95" s="3">
        <v>1945.0918999999999</v>
      </c>
      <c r="Y95" s="3">
        <v>24.720700000000001</v>
      </c>
      <c r="Z95" s="3">
        <v>1920.3712</v>
      </c>
      <c r="AA95">
        <v>30</v>
      </c>
      <c r="AB95" t="b">
        <f t="shared" si="60"/>
        <v>1</v>
      </c>
      <c r="AC95" s="3">
        <v>1000000</v>
      </c>
      <c r="AD95" t="s">
        <v>45</v>
      </c>
      <c r="AE95" s="8">
        <v>46155.560022106481</v>
      </c>
      <c r="AF95" s="6">
        <f t="shared" ref="AF95" si="63">S95/AC95</f>
        <v>0.63748433030000007</v>
      </c>
      <c r="AG95" s="6" t="b">
        <f>+Tabla9[[#This Row],[CUMPLIMIENTO]]&lt;100%</f>
        <v>1</v>
      </c>
      <c r="AH95" s="12">
        <f>((( (Tabla9[[#This Row],[FTP_CIERRE_MES]]/100)+1)^(30/360) -1)*(36000/30))/36000</f>
        <v>1.2239493171416853E-4</v>
      </c>
      <c r="AI95" s="3">
        <f>Tabla9[[#This Row],[FTP_DIARIO]]*Tabla9[[#This Row],[SALDO_PROM_CORREGIDO]]*Tabla9[[#This Row],[DIAS]]</f>
        <v>2340.7455322776291</v>
      </c>
      <c r="AJ95" s="3">
        <f>Tabla9[[#This Row],[REAL_FTP_MONTO]]-Tabla9[[#This Row],[INT_REAL]]</f>
        <v>1945.086332277629</v>
      </c>
      <c r="AK95" s="3">
        <f>Tabla9[[#This Row],[FTP_DIARIO]]*Tabla9[[#This Row],[COMPROMISO]]*Tabla9[[#This Row],[DIAS]]</f>
        <v>3671.8479514250557</v>
      </c>
      <c r="AL95" s="13">
        <f>((( (Tabla9[[#This Row],[TASA_INT]])+1)^(30/360) -1)*(36000/30))/36000</f>
        <v>2.0762060037552802E-5</v>
      </c>
      <c r="AM95" s="3">
        <f>Tabla9[[#This Row],[TEA DIARIA]]*Tabla9[[#This Row],[SALDO_PROM_CORREGIDO]]*Tabla9[[#This Row],[DIAS]]</f>
        <v>397.06463816063223</v>
      </c>
      <c r="AN95" s="3">
        <f>Tabla9[[#This Row],[TEA DIARIA]]*Tabla9[[#This Row],[COMPROMISO]]*Tabla9[[#This Row],[DIAS]]</f>
        <v>622.86180112658406</v>
      </c>
      <c r="AO95" s="14">
        <f>+Tabla9[[#This Row],[PROYECTADO_FTP_MONTO]]-Tabla9[[#This Row],[PROYECCION_INTERES]]</f>
        <v>3048.9861502984718</v>
      </c>
      <c r="AP95" s="3">
        <f>Tabla9[[#This Row],[PROYECCION_MARGEN(FTP - Int compromiso)]]-Tabla9[[#This Row],[REAL_MARGEN(FTP - Int)]]</f>
        <v>1103.8998180208428</v>
      </c>
    </row>
    <row r="96" spans="1:42" x14ac:dyDescent="0.35">
      <c r="A96">
        <v>202604</v>
      </c>
      <c r="B96" s="7">
        <v>46142</v>
      </c>
      <c r="C96">
        <v>7688757</v>
      </c>
      <c r="D96" t="s">
        <v>36</v>
      </c>
      <c r="E96" t="s">
        <v>37</v>
      </c>
      <c r="F96" t="s">
        <v>105</v>
      </c>
      <c r="G96" t="s">
        <v>37</v>
      </c>
      <c r="H96" t="s">
        <v>498</v>
      </c>
      <c r="I96" t="s">
        <v>244</v>
      </c>
      <c r="J96" t="str">
        <f t="shared" ref="J96:J97" si="64">IF(I96="SOLES","4.4963","3.388")</f>
        <v>3.388</v>
      </c>
      <c r="K96" t="s">
        <v>32</v>
      </c>
      <c r="L96" t="s">
        <v>33</v>
      </c>
      <c r="M96" t="s">
        <v>34</v>
      </c>
      <c r="N96" t="s">
        <v>333</v>
      </c>
      <c r="O96" t="s">
        <v>44</v>
      </c>
      <c r="P96" s="3">
        <v>1111270.1857</v>
      </c>
      <c r="Q96" s="3">
        <v>256264.97399999999</v>
      </c>
      <c r="R96" s="4">
        <v>3.39E-2</v>
      </c>
      <c r="S96" s="3">
        <f>+Tabla9[[#This Row],[SAL_PROM_SOL]]</f>
        <v>1111270.1857</v>
      </c>
      <c r="T96" s="4">
        <v>4.0000000000000001E-3</v>
      </c>
      <c r="U96" s="4">
        <v>2.9899999999999999E-2</v>
      </c>
      <c r="V96" s="3">
        <v>3089.7826</v>
      </c>
      <c r="W96" s="3">
        <v>369.70929999999998</v>
      </c>
      <c r="X96" s="3">
        <v>2720.0733</v>
      </c>
      <c r="Y96" s="3">
        <v>0</v>
      </c>
      <c r="Z96" s="3">
        <v>2720.0733</v>
      </c>
      <c r="AA96">
        <v>30</v>
      </c>
      <c r="AB96" t="b">
        <f t="shared" si="60"/>
        <v>1</v>
      </c>
      <c r="AC96" s="3">
        <v>1000000</v>
      </c>
      <c r="AD96" t="s">
        <v>46</v>
      </c>
      <c r="AE96" s="8">
        <v>46155.560022106481</v>
      </c>
      <c r="AF96" s="6">
        <f t="shared" ref="AF96:AF97" si="65">S96/AC96</f>
        <v>1.1112701857</v>
      </c>
      <c r="AG96" s="6" t="b">
        <f>+Tabla9[[#This Row],[CUMPLIMIENTO]]&lt;100%</f>
        <v>0</v>
      </c>
      <c r="AH96" s="12">
        <f>((( (Tabla9[[#This Row],[FTP_CIERRE_MES]]/100)+1)^(30/360) -1)*(36000/30))/36000</f>
        <v>9.2680593701059222E-5</v>
      </c>
      <c r="AI96" s="3">
        <f>Tabla9[[#This Row],[FTP_DIARIO]]*Tabla9[[#This Row],[SALDO_PROM_CORREGIDO]]*Tabla9[[#This Row],[DIAS]]</f>
        <v>3089.79541718887</v>
      </c>
      <c r="AJ96" s="3">
        <f>Tabla9[[#This Row],[REAL_FTP_MONTO]]-Tabla9[[#This Row],[INT_REAL]]</f>
        <v>2720.08611718887</v>
      </c>
      <c r="AK96" s="3">
        <f>Tabla9[[#This Row],[FTP_DIARIO]]*Tabla9[[#This Row],[COMPROMISO]]*Tabla9[[#This Row],[DIAS]]</f>
        <v>2780.4178110317766</v>
      </c>
      <c r="AL96" s="13">
        <f>((( (Tabla9[[#This Row],[TASA_INT]])+1)^(30/360) -1)*(36000/30))/36000</f>
        <v>1.1090792646991272E-5</v>
      </c>
      <c r="AM96" s="3">
        <f>Tabla9[[#This Row],[TEA DIARIA]]*Tabla9[[#This Row],[SALDO_PROM_CORREGIDO]]*Tabla9[[#This Row],[DIAS]]</f>
        <v>369.74601613146558</v>
      </c>
      <c r="AN96" s="3">
        <f>Tabla9[[#This Row],[TEA DIARIA]]*Tabla9[[#This Row],[COMPROMISO]]*Tabla9[[#This Row],[DIAS]]</f>
        <v>332.72377940973814</v>
      </c>
      <c r="AO96" s="14">
        <f>+Tabla9[[#This Row],[PROYECTADO_FTP_MONTO]]-Tabla9[[#This Row],[PROYECCION_INTERES]]</f>
        <v>2447.6940316220384</v>
      </c>
      <c r="AP96" s="3">
        <f>Tabla9[[#This Row],[PROYECCION_MARGEN(FTP - Int compromiso)]]-Tabla9[[#This Row],[REAL_MARGEN(FTP - Int)]]</f>
        <v>-272.39208556683161</v>
      </c>
    </row>
    <row r="97" spans="1:42" x14ac:dyDescent="0.35">
      <c r="A97">
        <v>202604</v>
      </c>
      <c r="B97" s="7">
        <v>46142</v>
      </c>
      <c r="C97">
        <v>7688757</v>
      </c>
      <c r="D97" t="s">
        <v>36</v>
      </c>
      <c r="E97" t="s">
        <v>37</v>
      </c>
      <c r="F97" t="s">
        <v>105</v>
      </c>
      <c r="G97" t="s">
        <v>37</v>
      </c>
      <c r="H97" t="s">
        <v>498</v>
      </c>
      <c r="I97" t="s">
        <v>243</v>
      </c>
      <c r="J97" t="str">
        <f t="shared" si="64"/>
        <v>4.4963</v>
      </c>
      <c r="K97" t="s">
        <v>32</v>
      </c>
      <c r="L97" t="s">
        <v>33</v>
      </c>
      <c r="M97" t="s">
        <v>31</v>
      </c>
      <c r="N97" t="s">
        <v>334</v>
      </c>
      <c r="O97" t="s">
        <v>44</v>
      </c>
      <c r="P97" s="3">
        <v>26943521.749899998</v>
      </c>
      <c r="Q97" s="3">
        <v>110475968.45999999</v>
      </c>
      <c r="R97" s="4">
        <v>4.4999999999999998E-2</v>
      </c>
      <c r="S97" s="3">
        <f>+Tabla9[[#This Row],[SAL_PROM_SOL]]</f>
        <v>26943521.749899998</v>
      </c>
      <c r="T97" s="4">
        <v>3.8199999999999998E-2</v>
      </c>
      <c r="U97" s="4">
        <v>6.7999999999999996E-3</v>
      </c>
      <c r="V97" s="3">
        <v>98932.518500000006</v>
      </c>
      <c r="W97" s="3">
        <v>84356.571200000006</v>
      </c>
      <c r="X97" s="3">
        <v>14575.9473</v>
      </c>
      <c r="Y97" s="3">
        <v>0</v>
      </c>
      <c r="Z97" s="3">
        <v>14575.9473</v>
      </c>
      <c r="AA97">
        <v>30</v>
      </c>
      <c r="AB97" t="b">
        <f t="shared" si="60"/>
        <v>1</v>
      </c>
      <c r="AC97" s="3">
        <v>89000000</v>
      </c>
      <c r="AD97" t="s">
        <v>46</v>
      </c>
      <c r="AE97" s="8">
        <v>46155.560022106481</v>
      </c>
      <c r="AF97" s="6">
        <f t="shared" si="65"/>
        <v>0.30273619943707863</v>
      </c>
      <c r="AG97" s="6" t="b">
        <f>+Tabla9[[#This Row],[CUMPLIMIENTO]]&lt;100%</f>
        <v>1</v>
      </c>
      <c r="AH97" s="12">
        <f>((( (Tabla9[[#This Row],[FTP_CIERRE_MES]]/100)+1)^(30/360) -1)*(36000/30))/36000</f>
        <v>1.2239493171416853E-4</v>
      </c>
      <c r="AI97" s="3">
        <f>Tabla9[[#This Row],[FTP_DIARIO]]*Tabla9[[#This Row],[SALDO_PROM_CORREGIDO]]*Tabla9[[#This Row],[DIAS]]</f>
        <v>98932.515141546741</v>
      </c>
      <c r="AJ97" s="3">
        <f>Tabla9[[#This Row],[REAL_FTP_MONTO]]-Tabla9[[#This Row],[INT_REAL]]</f>
        <v>14575.943941546735</v>
      </c>
      <c r="AK97" s="3">
        <f>Tabla9[[#This Row],[FTP_DIARIO]]*Tabla9[[#This Row],[COMPROMISO]]*Tabla9[[#This Row],[DIAS]]</f>
        <v>326794.46767682995</v>
      </c>
      <c r="AL97" s="13">
        <f>((( (Tabla9[[#This Row],[TASA_INT]])+1)^(30/360) -1)*(36000/30))/36000</f>
        <v>1.0429739744928963E-4</v>
      </c>
      <c r="AM97" s="3">
        <f>Tabla9[[#This Row],[TEA DIARIA]]*Tabla9[[#This Row],[SALDO_PROM_CORREGIDO]]*Tabla9[[#This Row],[DIAS]]</f>
        <v>84304.175898986985</v>
      </c>
      <c r="AN97" s="3">
        <f>Tabla9[[#This Row],[TEA DIARIA]]*Tabla9[[#This Row],[COMPROMISO]]*Tabla9[[#This Row],[DIAS]]</f>
        <v>278474.05118960334</v>
      </c>
      <c r="AO97" s="14">
        <f>+Tabla9[[#This Row],[PROYECTADO_FTP_MONTO]]-Tabla9[[#This Row],[PROYECCION_INTERES]]</f>
        <v>48320.416487226612</v>
      </c>
      <c r="AP97" s="3">
        <f>Tabla9[[#This Row],[PROYECCION_MARGEN(FTP - Int compromiso)]]-Tabla9[[#This Row],[REAL_MARGEN(FTP - Int)]]</f>
        <v>33744.472545679877</v>
      </c>
    </row>
    <row r="98" spans="1:42" x14ac:dyDescent="0.35">
      <c r="A98">
        <v>202604</v>
      </c>
      <c r="B98" s="7">
        <v>46142</v>
      </c>
      <c r="C98">
        <v>8250838</v>
      </c>
      <c r="D98" t="s">
        <v>42</v>
      </c>
      <c r="E98" t="s">
        <v>48</v>
      </c>
      <c r="F98" t="s">
        <v>106</v>
      </c>
      <c r="G98" t="s">
        <v>48</v>
      </c>
      <c r="H98" t="s">
        <v>495</v>
      </c>
      <c r="I98" t="s">
        <v>243</v>
      </c>
      <c r="J98" t="str">
        <f t="shared" ref="J98" si="66">IF(I98="SOLES","4.4963","3.388")</f>
        <v>4.4963</v>
      </c>
      <c r="K98" t="s">
        <v>32</v>
      </c>
      <c r="L98" t="s">
        <v>33</v>
      </c>
      <c r="M98" t="s">
        <v>31</v>
      </c>
      <c r="N98" t="s">
        <v>335</v>
      </c>
      <c r="O98" t="s">
        <v>44</v>
      </c>
      <c r="P98" s="3">
        <v>1058187.2098999999</v>
      </c>
      <c r="Q98" s="3">
        <v>183627.26</v>
      </c>
      <c r="R98" s="4">
        <v>4.4999999999999998E-2</v>
      </c>
      <c r="S98" s="3">
        <f>+Tabla9[[#This Row],[SAL_PROM_SOL]]</f>
        <v>1058187.2098999999</v>
      </c>
      <c r="T98" s="4">
        <v>7.7999999999999996E-3</v>
      </c>
      <c r="U98" s="4">
        <v>3.7199999999999997E-2</v>
      </c>
      <c r="V98" s="3">
        <v>3885.5012000000002</v>
      </c>
      <c r="W98" s="3">
        <v>688.15930000000003</v>
      </c>
      <c r="X98" s="3">
        <v>3197.3418999999999</v>
      </c>
      <c r="Y98" s="3">
        <v>43.9499</v>
      </c>
      <c r="Z98" s="3">
        <v>3153.3919999999998</v>
      </c>
      <c r="AA98">
        <v>30</v>
      </c>
      <c r="AB98" t="b">
        <f t="shared" si="60"/>
        <v>1</v>
      </c>
      <c r="AC98" s="3">
        <v>500000</v>
      </c>
      <c r="AD98" t="s">
        <v>45</v>
      </c>
      <c r="AE98" s="8">
        <v>46155.560022106481</v>
      </c>
      <c r="AF98" s="6">
        <f t="shared" ref="AF98" si="67">S98/AC98</f>
        <v>2.1163744197999996</v>
      </c>
      <c r="AG98" s="6" t="b">
        <f>+Tabla9[[#This Row],[CUMPLIMIENTO]]&lt;100%</f>
        <v>0</v>
      </c>
      <c r="AH98" s="12">
        <f>((( (Tabla9[[#This Row],[FTP_CIERRE_MES]]/100)+1)^(30/360) -1)*(36000/30))/36000</f>
        <v>1.2239493171416853E-4</v>
      </c>
      <c r="AI98" s="3">
        <f>Tabla9[[#This Row],[FTP_DIARIO]]*Tabla9[[#This Row],[SALDO_PROM_CORREGIDO]]*Tabla9[[#This Row],[DIAS]]</f>
        <v>3885.5025388955105</v>
      </c>
      <c r="AJ98" s="3">
        <f>Tabla9[[#This Row],[REAL_FTP_MONTO]]-Tabla9[[#This Row],[INT_REAL]]</f>
        <v>3197.3432388955107</v>
      </c>
      <c r="AK98" s="3">
        <f>Tabla9[[#This Row],[FTP_DIARIO]]*Tabla9[[#This Row],[COMPROMISO]]*Tabla9[[#This Row],[DIAS]]</f>
        <v>1835.9239757125279</v>
      </c>
      <c r="AL98" s="13">
        <f>((( (Tabla9[[#This Row],[TASA_INT]])+1)^(30/360) -1)*(36000/30))/36000</f>
        <v>2.158959215197894E-5</v>
      </c>
      <c r="AM98" s="3">
        <f>Tabla9[[#This Row],[TEA DIARIA]]*Tabla9[[#This Row],[SALDO_PROM_CORREGIDO]]*Tabla9[[#This Row],[DIAS]]</f>
        <v>685.37490846544586</v>
      </c>
      <c r="AN98" s="3">
        <f>Tabla9[[#This Row],[TEA DIARIA]]*Tabla9[[#This Row],[COMPROMISO]]*Tabla9[[#This Row],[DIAS]]</f>
        <v>323.84388227968412</v>
      </c>
      <c r="AO98" s="14">
        <f>+Tabla9[[#This Row],[PROYECTADO_FTP_MONTO]]-Tabla9[[#This Row],[PROYECCION_INTERES]]</f>
        <v>1512.0800934328438</v>
      </c>
      <c r="AP98" s="3">
        <f>Tabla9[[#This Row],[PROYECCION_MARGEN(FTP - Int compromiso)]]-Tabla9[[#This Row],[REAL_MARGEN(FTP - Int)]]</f>
        <v>-1685.2631454626669</v>
      </c>
    </row>
    <row r="99" spans="1:42" x14ac:dyDescent="0.35">
      <c r="A99">
        <v>202604</v>
      </c>
      <c r="B99" s="7">
        <v>46142</v>
      </c>
      <c r="C99">
        <v>8282865</v>
      </c>
      <c r="D99" t="s">
        <v>42</v>
      </c>
      <c r="E99" t="s">
        <v>48</v>
      </c>
      <c r="F99" t="s">
        <v>107</v>
      </c>
      <c r="G99" t="s">
        <v>48</v>
      </c>
      <c r="H99" t="s">
        <v>497</v>
      </c>
      <c r="I99" t="s">
        <v>244</v>
      </c>
      <c r="J99" t="str">
        <f t="shared" ref="J99:J100" si="68">IF(I99="SOLES","4.4963","3.388")</f>
        <v>3.388</v>
      </c>
      <c r="K99" t="s">
        <v>32</v>
      </c>
      <c r="L99" t="s">
        <v>33</v>
      </c>
      <c r="M99" t="s">
        <v>34</v>
      </c>
      <c r="N99" t="s">
        <v>247</v>
      </c>
      <c r="O99" t="s">
        <v>44</v>
      </c>
      <c r="P99" s="3">
        <v>179717.43859999999</v>
      </c>
      <c r="Q99" s="3">
        <v>185378.995</v>
      </c>
      <c r="R99" s="4">
        <v>3.39E-2</v>
      </c>
      <c r="S99" s="3">
        <f>+Tabla9[[#This Row],[SAL_PROM_SOL]]</f>
        <v>179717.43859999999</v>
      </c>
      <c r="T99" s="4">
        <v>3.2000000000000001E-2</v>
      </c>
      <c r="U99" s="4">
        <v>1.9E-3</v>
      </c>
      <c r="V99" s="3">
        <v>499.68259999999998</v>
      </c>
      <c r="W99" s="3">
        <v>472.3107</v>
      </c>
      <c r="X99" s="3">
        <v>27.3719</v>
      </c>
      <c r="Y99" s="3">
        <v>0</v>
      </c>
      <c r="Z99" s="3">
        <v>27.3719</v>
      </c>
      <c r="AA99">
        <v>30</v>
      </c>
      <c r="AB99" t="b">
        <f t="shared" si="60"/>
        <v>1</v>
      </c>
      <c r="AC99" s="3">
        <v>50000</v>
      </c>
      <c r="AD99" t="s">
        <v>46</v>
      </c>
      <c r="AE99" s="8">
        <v>46155.560022106481</v>
      </c>
      <c r="AF99" s="6">
        <f t="shared" ref="AF99:AF100" si="69">S99/AC99</f>
        <v>3.594348772</v>
      </c>
      <c r="AG99" s="6" t="b">
        <f>+Tabla9[[#This Row],[CUMPLIMIENTO]]&lt;100%</f>
        <v>0</v>
      </c>
      <c r="AH99" s="12">
        <f>((( (Tabla9[[#This Row],[FTP_CIERRE_MES]]/100)+1)^(30/360) -1)*(36000/30))/36000</f>
        <v>9.2680593701059222E-5</v>
      </c>
      <c r="AI99" s="3">
        <f>Tabla9[[#This Row],[FTP_DIARIO]]*Tabla9[[#This Row],[SALDO_PROM_CORREGIDO]]*Tabla9[[#This Row],[DIAS]]</f>
        <v>499.68956723644976</v>
      </c>
      <c r="AJ99" s="3">
        <f>Tabla9[[#This Row],[REAL_FTP_MONTO]]-Tabla9[[#This Row],[INT_REAL]]</f>
        <v>27.378867236449764</v>
      </c>
      <c r="AK99" s="3">
        <f>Tabla9[[#This Row],[FTP_DIARIO]]*Tabla9[[#This Row],[COMPROMISO]]*Tabla9[[#This Row],[DIAS]]</f>
        <v>139.02089055158882</v>
      </c>
      <c r="AL99" s="13">
        <f>((( (Tabla9[[#This Row],[TASA_INT]])+1)^(30/360) -1)*(36000/30))/36000</f>
        <v>8.7611231959483507E-5</v>
      </c>
      <c r="AM99" s="3">
        <f>Tabla9[[#This Row],[TEA DIARIA]]*Tabla9[[#This Row],[SALDO_PROM_CORREGIDO]]*Tabla9[[#This Row],[DIAS]]</f>
        <v>472.35798601046503</v>
      </c>
      <c r="AN99" s="3">
        <f>Tabla9[[#This Row],[TEA DIARIA]]*Tabla9[[#This Row],[COMPROMISO]]*Tabla9[[#This Row],[DIAS]]</f>
        <v>131.41684793922525</v>
      </c>
      <c r="AO99" s="14">
        <f>+Tabla9[[#This Row],[PROYECTADO_FTP_MONTO]]-Tabla9[[#This Row],[PROYECCION_INTERES]]</f>
        <v>7.6040426123635712</v>
      </c>
      <c r="AP99" s="3">
        <f>Tabla9[[#This Row],[PROYECCION_MARGEN(FTP - Int compromiso)]]-Tabla9[[#This Row],[REAL_MARGEN(FTP - Int)]]</f>
        <v>-19.774824624086193</v>
      </c>
    </row>
    <row r="100" spans="1:42" x14ac:dyDescent="0.35">
      <c r="A100">
        <v>202604</v>
      </c>
      <c r="B100" s="7">
        <v>46142</v>
      </c>
      <c r="C100">
        <v>8282865</v>
      </c>
      <c r="D100" t="s">
        <v>42</v>
      </c>
      <c r="E100" t="s">
        <v>48</v>
      </c>
      <c r="F100" t="s">
        <v>107</v>
      </c>
      <c r="G100" t="s">
        <v>48</v>
      </c>
      <c r="H100" t="s">
        <v>497</v>
      </c>
      <c r="I100" t="s">
        <v>243</v>
      </c>
      <c r="J100" t="str">
        <f t="shared" si="68"/>
        <v>4.4963</v>
      </c>
      <c r="K100" t="s">
        <v>32</v>
      </c>
      <c r="L100" t="s">
        <v>33</v>
      </c>
      <c r="M100" t="s">
        <v>31</v>
      </c>
      <c r="N100" t="s">
        <v>336</v>
      </c>
      <c r="O100" t="s">
        <v>44</v>
      </c>
      <c r="P100" s="3">
        <v>3675301.9402999999</v>
      </c>
      <c r="Q100" s="3">
        <v>3619272.63</v>
      </c>
      <c r="R100" s="4">
        <v>4.4999999999999998E-2</v>
      </c>
      <c r="S100" s="3">
        <f>+Tabla9[[#This Row],[SAL_PROM_SOL]]</f>
        <v>3675301.9402999999</v>
      </c>
      <c r="T100" s="4">
        <v>4.0500000000000001E-2</v>
      </c>
      <c r="U100" s="4">
        <v>4.4999999999999997E-3</v>
      </c>
      <c r="V100" s="3">
        <v>13495.1484</v>
      </c>
      <c r="W100" s="3">
        <v>12178.338599999999</v>
      </c>
      <c r="X100" s="3">
        <v>1316.8098</v>
      </c>
      <c r="Y100" s="3">
        <v>43.9499</v>
      </c>
      <c r="Z100" s="3">
        <v>1272.8598999999999</v>
      </c>
      <c r="AA100">
        <v>30</v>
      </c>
      <c r="AB100" t="b">
        <f t="shared" si="60"/>
        <v>1</v>
      </c>
      <c r="AC100" s="3">
        <v>3500000</v>
      </c>
      <c r="AD100" t="s">
        <v>46</v>
      </c>
      <c r="AE100" s="8">
        <v>46155.560022106481</v>
      </c>
      <c r="AF100" s="6">
        <f t="shared" si="69"/>
        <v>1.0500862686571428</v>
      </c>
      <c r="AG100" s="6" t="b">
        <f>+Tabla9[[#This Row],[CUMPLIMIENTO]]&lt;100%</f>
        <v>0</v>
      </c>
      <c r="AH100" s="12">
        <f>((( (Tabla9[[#This Row],[FTP_CIERRE_MES]]/100)+1)^(30/360) -1)*(36000/30))/36000</f>
        <v>1.2239493171416853E-4</v>
      </c>
      <c r="AI100" s="3">
        <f>Tabla9[[#This Row],[FTP_DIARIO]]*Tabla9[[#This Row],[SALDO_PROM_CORREGIDO]]*Tabla9[[#This Row],[DIAS]]</f>
        <v>13495.149900359087</v>
      </c>
      <c r="AJ100" s="3">
        <f>Tabla9[[#This Row],[REAL_FTP_MONTO]]-Tabla9[[#This Row],[INT_REAL]]</f>
        <v>1316.8113003590879</v>
      </c>
      <c r="AK100" s="3">
        <f>Tabla9[[#This Row],[FTP_DIARIO]]*Tabla9[[#This Row],[COMPROMISO]]*Tabla9[[#This Row],[DIAS]]</f>
        <v>12851.467829987696</v>
      </c>
      <c r="AL100" s="13">
        <f>((( (Tabla9[[#This Row],[TASA_INT]])+1)^(30/360) -1)*(36000/30))/36000</f>
        <v>1.1046420632666217E-4</v>
      </c>
      <c r="AM100" s="3">
        <f>Tabla9[[#This Row],[TEA DIARIA]]*Tabla9[[#This Row],[SALDO_PROM_CORREGIDO]]*Tabla9[[#This Row],[DIAS]]</f>
        <v>12179.679355382428</v>
      </c>
      <c r="AN100" s="3">
        <f>Tabla9[[#This Row],[TEA DIARIA]]*Tabla9[[#This Row],[COMPROMISO]]*Tabla9[[#This Row],[DIAS]]</f>
        <v>11598.741664299527</v>
      </c>
      <c r="AO100" s="14">
        <f>+Tabla9[[#This Row],[PROYECTADO_FTP_MONTO]]-Tabla9[[#This Row],[PROYECCION_INTERES]]</f>
        <v>1252.7261656881692</v>
      </c>
      <c r="AP100" s="3">
        <f>Tabla9[[#This Row],[PROYECCION_MARGEN(FTP - Int compromiso)]]-Tabla9[[#This Row],[REAL_MARGEN(FTP - Int)]]</f>
        <v>-64.085134670918706</v>
      </c>
    </row>
    <row r="101" spans="1:42" x14ac:dyDescent="0.35">
      <c r="A101">
        <v>202604</v>
      </c>
      <c r="B101" s="7">
        <v>46142</v>
      </c>
      <c r="C101">
        <v>8355109</v>
      </c>
      <c r="D101" t="s">
        <v>42</v>
      </c>
      <c r="E101" t="s">
        <v>48</v>
      </c>
      <c r="F101" t="s">
        <v>108</v>
      </c>
      <c r="G101" t="s">
        <v>48</v>
      </c>
      <c r="H101" t="s">
        <v>495</v>
      </c>
      <c r="I101" t="s">
        <v>243</v>
      </c>
      <c r="J101" t="str">
        <f t="shared" ref="J101" si="70">IF(I101="SOLES","4.4963","3.388")</f>
        <v>4.4963</v>
      </c>
      <c r="K101" t="s">
        <v>32</v>
      </c>
      <c r="L101" t="s">
        <v>33</v>
      </c>
      <c r="M101" t="s">
        <v>31</v>
      </c>
      <c r="N101" t="s">
        <v>337</v>
      </c>
      <c r="O101" t="s">
        <v>44</v>
      </c>
      <c r="P101" s="3">
        <v>11175713.250499999</v>
      </c>
      <c r="Q101" s="3">
        <v>11129095.68</v>
      </c>
      <c r="R101" s="4">
        <v>4.4999999999999998E-2</v>
      </c>
      <c r="S101" s="3">
        <f>+Tabla9[[#This Row],[SAL_PROM_SOL]]</f>
        <v>11175713.250499999</v>
      </c>
      <c r="T101" s="4">
        <v>1.9900000000000001E-2</v>
      </c>
      <c r="U101" s="4">
        <v>2.5100000000000001E-2</v>
      </c>
      <c r="V101" s="3">
        <v>41035.519399999997</v>
      </c>
      <c r="W101" s="3">
        <v>18401.598999999998</v>
      </c>
      <c r="X101" s="3">
        <v>22633.920399999999</v>
      </c>
      <c r="Y101" s="3">
        <v>43.9499</v>
      </c>
      <c r="Z101" s="3">
        <v>22589.970499999999</v>
      </c>
      <c r="AA101">
        <v>30</v>
      </c>
      <c r="AB101" t="b">
        <f t="shared" si="60"/>
        <v>1</v>
      </c>
      <c r="AC101" s="3">
        <v>10000000</v>
      </c>
      <c r="AD101" t="s">
        <v>46</v>
      </c>
      <c r="AE101" s="8">
        <v>46155.560022106481</v>
      </c>
      <c r="AF101" s="6">
        <f t="shared" ref="AF101" si="71">S101/AC101</f>
        <v>1.1175713250499999</v>
      </c>
      <c r="AG101" s="6" t="b">
        <f>+Tabla9[[#This Row],[CUMPLIMIENTO]]&lt;100%</f>
        <v>0</v>
      </c>
      <c r="AH101" s="12">
        <f>((( (Tabla9[[#This Row],[FTP_CIERRE_MES]]/100)+1)^(30/360) -1)*(36000/30))/36000</f>
        <v>1.2239493171416853E-4</v>
      </c>
      <c r="AI101" s="3">
        <f>Tabla9[[#This Row],[FTP_DIARIO]]*Tabla9[[#This Row],[SALDO_PROM_CORREGIDO]]*Tabla9[[#This Row],[DIAS]]</f>
        <v>41035.519804562275</v>
      </c>
      <c r="AJ101" s="3">
        <f>Tabla9[[#This Row],[REAL_FTP_MONTO]]-Tabla9[[#This Row],[INT_REAL]]</f>
        <v>22633.920804562276</v>
      </c>
      <c r="AK101" s="3">
        <f>Tabla9[[#This Row],[FTP_DIARIO]]*Tabla9[[#This Row],[COMPROMISO]]*Tabla9[[#This Row],[DIAS]]</f>
        <v>36718.479514250561</v>
      </c>
      <c r="AL101" s="13">
        <f>((( (Tabla9[[#This Row],[TASA_INT]])+1)^(30/360) -1)*(36000/30))/36000</f>
        <v>5.477991687419988E-5</v>
      </c>
      <c r="AM101" s="3">
        <f>Tabla9[[#This Row],[TEA DIARIA]]*Tabla9[[#This Row],[SALDO_PROM_CORREGIDO]]*Tabla9[[#This Row],[DIAS]]</f>
        <v>18366.139286168524</v>
      </c>
      <c r="AN101" s="3">
        <f>Tabla9[[#This Row],[TEA DIARIA]]*Tabla9[[#This Row],[COMPROMISO]]*Tabla9[[#This Row],[DIAS]]</f>
        <v>16433.975062259964</v>
      </c>
      <c r="AO101" s="14">
        <f>+Tabla9[[#This Row],[PROYECTADO_FTP_MONTO]]-Tabla9[[#This Row],[PROYECCION_INTERES]]</f>
        <v>20284.504451990597</v>
      </c>
      <c r="AP101" s="3">
        <f>Tabla9[[#This Row],[PROYECCION_MARGEN(FTP - Int compromiso)]]-Tabla9[[#This Row],[REAL_MARGEN(FTP - Int)]]</f>
        <v>-2349.4163525716795</v>
      </c>
    </row>
    <row r="102" spans="1:42" x14ac:dyDescent="0.35">
      <c r="A102">
        <v>202604</v>
      </c>
      <c r="B102" s="7">
        <v>46142</v>
      </c>
      <c r="C102">
        <v>8367947</v>
      </c>
      <c r="D102" t="s">
        <v>36</v>
      </c>
      <c r="E102" t="s">
        <v>37</v>
      </c>
      <c r="F102" t="s">
        <v>109</v>
      </c>
      <c r="G102" t="s">
        <v>37</v>
      </c>
      <c r="H102" t="s">
        <v>498</v>
      </c>
      <c r="I102" t="s">
        <v>243</v>
      </c>
      <c r="J102" t="str">
        <f t="shared" ref="J102:J104" si="72">IF(I102="SOLES","4.4963","3.388")</f>
        <v>4.4963</v>
      </c>
      <c r="K102" t="s">
        <v>32</v>
      </c>
      <c r="L102" t="s">
        <v>33</v>
      </c>
      <c r="M102" t="s">
        <v>31</v>
      </c>
      <c r="N102" t="s">
        <v>338</v>
      </c>
      <c r="O102" t="s">
        <v>44</v>
      </c>
      <c r="P102" s="3">
        <v>49125524.528499998</v>
      </c>
      <c r="Q102" s="3">
        <v>64048640.049999997</v>
      </c>
      <c r="R102" s="4">
        <v>4.4999999999999998E-2</v>
      </c>
      <c r="S102" s="3">
        <f>+Tabla9[[#This Row],[SAL_PROM_SOL]]</f>
        <v>49125524.528499998</v>
      </c>
      <c r="T102" s="4">
        <v>4.2000000000000003E-2</v>
      </c>
      <c r="U102" s="4">
        <v>3.0000000000000001E-3</v>
      </c>
      <c r="V102" s="3">
        <v>180381.459</v>
      </c>
      <c r="W102" s="3">
        <v>168694.5295</v>
      </c>
      <c r="X102" s="3">
        <v>11686.9295</v>
      </c>
      <c r="Y102" s="3">
        <v>0</v>
      </c>
      <c r="Z102" s="3">
        <v>11686.9295</v>
      </c>
      <c r="AA102">
        <v>30</v>
      </c>
      <c r="AB102" t="b">
        <f t="shared" si="60"/>
        <v>1</v>
      </c>
      <c r="AC102" s="3">
        <v>37000000</v>
      </c>
      <c r="AD102" t="s">
        <v>46</v>
      </c>
      <c r="AE102" s="8">
        <v>46155.560022106481</v>
      </c>
      <c r="AF102" s="6">
        <f t="shared" ref="AF102:AF104" si="73">S102/AC102</f>
        <v>1.3277168791486487</v>
      </c>
      <c r="AG102" s="6" t="b">
        <f>+Tabla9[[#This Row],[CUMPLIMIENTO]]&lt;100%</f>
        <v>0</v>
      </c>
      <c r="AH102" s="12">
        <f>((( (Tabla9[[#This Row],[FTP_CIERRE_MES]]/100)+1)^(30/360) -1)*(36000/30))/36000</f>
        <v>1.2239493171416853E-4</v>
      </c>
      <c r="AI102" s="3">
        <f>Tabla9[[#This Row],[FTP_DIARIO]]*Tabla9[[#This Row],[SALDO_PROM_CORREGIDO]]*Tabla9[[#This Row],[DIAS]]</f>
        <v>180381.45660265404</v>
      </c>
      <c r="AJ102" s="3">
        <f>Tabla9[[#This Row],[REAL_FTP_MONTO]]-Tabla9[[#This Row],[INT_REAL]]</f>
        <v>11686.927102654037</v>
      </c>
      <c r="AK102" s="3">
        <f>Tabla9[[#This Row],[FTP_DIARIO]]*Tabla9[[#This Row],[COMPROMISO]]*Tabla9[[#This Row],[DIAS]]</f>
        <v>135858.37420272708</v>
      </c>
      <c r="AL102" s="13">
        <f>((( (Tabla9[[#This Row],[TASA_INT]])+1)^(30/360) -1)*(36000/30))/36000</f>
        <v>1.1447930966822876E-4</v>
      </c>
      <c r="AM102" s="3">
        <f>Tabla9[[#This Row],[TEA DIARIA]]*Tabla9[[#This Row],[SALDO_PROM_CORREGIDO]]*Tabla9[[#This Row],[DIAS]]</f>
        <v>168715.68405336956</v>
      </c>
      <c r="AN102" s="3">
        <f>Tabla9[[#This Row],[TEA DIARIA]]*Tabla9[[#This Row],[COMPROMISO]]*Tabla9[[#This Row],[DIAS]]</f>
        <v>127072.03373173391</v>
      </c>
      <c r="AO102" s="14">
        <f>+Tabla9[[#This Row],[PROYECTADO_FTP_MONTO]]-Tabla9[[#This Row],[PROYECCION_INTERES]]</f>
        <v>8786.3404709931638</v>
      </c>
      <c r="AP102" s="3">
        <f>Tabla9[[#This Row],[PROYECCION_MARGEN(FTP - Int compromiso)]]-Tabla9[[#This Row],[REAL_MARGEN(FTP - Int)]]</f>
        <v>-2900.5866316608735</v>
      </c>
    </row>
    <row r="103" spans="1:42" x14ac:dyDescent="0.35">
      <c r="A103">
        <v>202604</v>
      </c>
      <c r="B103" s="7">
        <v>46142</v>
      </c>
      <c r="C103">
        <v>8375534</v>
      </c>
      <c r="D103" t="s">
        <v>36</v>
      </c>
      <c r="E103" t="s">
        <v>37</v>
      </c>
      <c r="F103" t="s">
        <v>110</v>
      </c>
      <c r="G103" t="s">
        <v>37</v>
      </c>
      <c r="H103" t="s">
        <v>498</v>
      </c>
      <c r="I103" t="s">
        <v>244</v>
      </c>
      <c r="J103" t="str">
        <f t="shared" si="72"/>
        <v>3.388</v>
      </c>
      <c r="K103" t="s">
        <v>32</v>
      </c>
      <c r="L103" t="s">
        <v>33</v>
      </c>
      <c r="M103" t="s">
        <v>34</v>
      </c>
      <c r="N103" t="s">
        <v>296</v>
      </c>
      <c r="O103" t="s">
        <v>44</v>
      </c>
      <c r="P103" s="3">
        <v>1670289.8165</v>
      </c>
      <c r="Q103" s="3">
        <v>1707368.3769</v>
      </c>
      <c r="R103" s="4">
        <v>3.39E-2</v>
      </c>
      <c r="S103" s="3">
        <f>+Tabla9[[#This Row],[SAL_PROM_SOL]]</f>
        <v>1670289.8165</v>
      </c>
      <c r="T103" s="4">
        <v>8.9999999999999993E-3</v>
      </c>
      <c r="U103" s="4">
        <v>2.4899999999999999E-2</v>
      </c>
      <c r="V103" s="3">
        <v>4644.0906000000004</v>
      </c>
      <c r="W103" s="3">
        <v>1247.5709999999999</v>
      </c>
      <c r="X103" s="3">
        <v>3396.5196000000001</v>
      </c>
      <c r="Y103" s="3">
        <v>0</v>
      </c>
      <c r="Z103" s="3">
        <v>3396.5196000000001</v>
      </c>
      <c r="AA103">
        <v>30</v>
      </c>
      <c r="AB103" t="b">
        <f t="shared" si="60"/>
        <v>1</v>
      </c>
      <c r="AC103" s="3">
        <v>500000</v>
      </c>
      <c r="AD103" t="s">
        <v>46</v>
      </c>
      <c r="AE103" s="8">
        <v>46155.560022106481</v>
      </c>
      <c r="AF103" s="6">
        <f t="shared" si="73"/>
        <v>3.3405796329999999</v>
      </c>
      <c r="AG103" s="6" t="b">
        <f>+Tabla9[[#This Row],[CUMPLIMIENTO]]&lt;100%</f>
        <v>0</v>
      </c>
      <c r="AH103" s="12">
        <f>((( (Tabla9[[#This Row],[FTP_CIERRE_MES]]/100)+1)^(30/360) -1)*(36000/30))/36000</f>
        <v>9.2680593701059222E-5</v>
      </c>
      <c r="AI103" s="3">
        <f>Tabla9[[#This Row],[FTP_DIARIO]]*Tabla9[[#This Row],[SALDO_PROM_CORREGIDO]]*Tabla9[[#This Row],[DIAS]]</f>
        <v>4644.1035553815982</v>
      </c>
      <c r="AJ103" s="3">
        <f>Tabla9[[#This Row],[REAL_FTP_MONTO]]-Tabla9[[#This Row],[INT_REAL]]</f>
        <v>3396.5325553815983</v>
      </c>
      <c r="AK103" s="3">
        <f>Tabla9[[#This Row],[FTP_DIARIO]]*Tabla9[[#This Row],[COMPROMISO]]*Tabla9[[#This Row],[DIAS]]</f>
        <v>1390.2089055158883</v>
      </c>
      <c r="AL103" s="13">
        <f>((( (Tabla9[[#This Row],[TASA_INT]])+1)^(30/360) -1)*(36000/30))/36000</f>
        <v>2.4897464104626602E-5</v>
      </c>
      <c r="AM103" s="3">
        <f>Tabla9[[#This Row],[TEA DIARIA]]*Tabla9[[#This Row],[SALDO_PROM_CORREGIDO]]*Tabla9[[#This Row],[DIAS]]</f>
        <v>1247.5794225189632</v>
      </c>
      <c r="AN103" s="3">
        <f>Tabla9[[#This Row],[TEA DIARIA]]*Tabla9[[#This Row],[COMPROMISO]]*Tabla9[[#This Row],[DIAS]]</f>
        <v>373.46196156939908</v>
      </c>
      <c r="AO103" s="14">
        <f>+Tabla9[[#This Row],[PROYECTADO_FTP_MONTO]]-Tabla9[[#This Row],[PROYECCION_INTERES]]</f>
        <v>1016.7469439464892</v>
      </c>
      <c r="AP103" s="3">
        <f>Tabla9[[#This Row],[PROYECCION_MARGEN(FTP - Int compromiso)]]-Tabla9[[#This Row],[REAL_MARGEN(FTP - Int)]]</f>
        <v>-2379.7856114351089</v>
      </c>
    </row>
    <row r="104" spans="1:42" x14ac:dyDescent="0.35">
      <c r="A104">
        <v>202604</v>
      </c>
      <c r="B104" s="7">
        <v>46142</v>
      </c>
      <c r="C104">
        <v>8375534</v>
      </c>
      <c r="D104" t="s">
        <v>36</v>
      </c>
      <c r="E104" t="s">
        <v>37</v>
      </c>
      <c r="F104" t="s">
        <v>110</v>
      </c>
      <c r="G104" t="s">
        <v>37</v>
      </c>
      <c r="H104" t="s">
        <v>498</v>
      </c>
      <c r="I104" t="s">
        <v>243</v>
      </c>
      <c r="J104" t="str">
        <f t="shared" si="72"/>
        <v>4.4963</v>
      </c>
      <c r="K104" t="s">
        <v>32</v>
      </c>
      <c r="L104" t="s">
        <v>33</v>
      </c>
      <c r="M104" t="s">
        <v>31</v>
      </c>
      <c r="N104" t="s">
        <v>339</v>
      </c>
      <c r="O104" t="s">
        <v>44</v>
      </c>
      <c r="P104" s="3">
        <v>18375811.929299999</v>
      </c>
      <c r="Q104" s="3">
        <v>18402189.890000001</v>
      </c>
      <c r="R104" s="4">
        <v>4.4999999999999998E-2</v>
      </c>
      <c r="S104" s="3">
        <f>+Tabla9[[#This Row],[SAL_PROM_SOL]]</f>
        <v>18375811.929299999</v>
      </c>
      <c r="T104" s="4">
        <v>1.7999999999999999E-2</v>
      </c>
      <c r="U104" s="4">
        <v>2.7E-2</v>
      </c>
      <c r="V104" s="3">
        <v>67473.190600000002</v>
      </c>
      <c r="W104" s="3">
        <v>27337.540499999999</v>
      </c>
      <c r="X104" s="3">
        <v>40135.650099999999</v>
      </c>
      <c r="Y104" s="3">
        <v>0</v>
      </c>
      <c r="Z104" s="3">
        <v>40135.650099999999</v>
      </c>
      <c r="AA104">
        <v>30</v>
      </c>
      <c r="AB104" t="b">
        <f t="shared" si="60"/>
        <v>1</v>
      </c>
      <c r="AC104" s="3">
        <v>15000000</v>
      </c>
      <c r="AD104" t="s">
        <v>46</v>
      </c>
      <c r="AE104" s="8">
        <v>46155.560022106481</v>
      </c>
      <c r="AF104" s="6">
        <f t="shared" si="73"/>
        <v>1.2250541286199998</v>
      </c>
      <c r="AG104" s="6" t="b">
        <f>+Tabla9[[#This Row],[CUMPLIMIENTO]]&lt;100%</f>
        <v>0</v>
      </c>
      <c r="AH104" s="12">
        <f>((( (Tabla9[[#This Row],[FTP_CIERRE_MES]]/100)+1)^(30/360) -1)*(36000/30))/36000</f>
        <v>1.2239493171416853E-4</v>
      </c>
      <c r="AI104" s="3">
        <f>Tabla9[[#This Row],[FTP_DIARIO]]*Tabla9[[#This Row],[SALDO_PROM_CORREGIDO]]*Tabla9[[#This Row],[DIAS]]</f>
        <v>67473.187388372302</v>
      </c>
      <c r="AJ104" s="3">
        <f>Tabla9[[#This Row],[REAL_FTP_MONTO]]-Tabla9[[#This Row],[INT_REAL]]</f>
        <v>40135.646888372299</v>
      </c>
      <c r="AK104" s="3">
        <f>Tabla9[[#This Row],[FTP_DIARIO]]*Tabla9[[#This Row],[COMPROMISO]]*Tabla9[[#This Row],[DIAS]]</f>
        <v>55077.719271375834</v>
      </c>
      <c r="AL104" s="13">
        <f>((( (Tabla9[[#This Row],[TASA_INT]])+1)^(30/360) -1)*(36000/30))/36000</f>
        <v>4.9592182353415858E-5</v>
      </c>
      <c r="AM104" s="3">
        <f>Tabla9[[#This Row],[TEA DIARIA]]*Tabla9[[#This Row],[SALDO_PROM_CORREGIDO]]*Tabla9[[#This Row],[DIAS]]</f>
        <v>27338.898482697601</v>
      </c>
      <c r="AN104" s="3">
        <f>Tabla9[[#This Row],[TEA DIARIA]]*Tabla9[[#This Row],[COMPROMISO]]*Tabla9[[#This Row],[DIAS]]</f>
        <v>22316.482059037135</v>
      </c>
      <c r="AO104" s="14">
        <f>+Tabla9[[#This Row],[PROYECTADO_FTP_MONTO]]-Tabla9[[#This Row],[PROYECCION_INTERES]]</f>
        <v>32761.237212338699</v>
      </c>
      <c r="AP104" s="3">
        <f>Tabla9[[#This Row],[PROYECCION_MARGEN(FTP - Int compromiso)]]-Tabla9[[#This Row],[REAL_MARGEN(FTP - Int)]]</f>
        <v>-7374.4096760335997</v>
      </c>
    </row>
    <row r="105" spans="1:42" x14ac:dyDescent="0.35">
      <c r="A105">
        <v>202604</v>
      </c>
      <c r="B105" s="7">
        <v>46142</v>
      </c>
      <c r="C105">
        <v>8395283</v>
      </c>
      <c r="D105" t="s">
        <v>42</v>
      </c>
      <c r="E105" t="s">
        <v>48</v>
      </c>
      <c r="F105" t="s">
        <v>111</v>
      </c>
      <c r="G105" t="s">
        <v>48</v>
      </c>
      <c r="H105" t="s">
        <v>497</v>
      </c>
      <c r="I105" t="s">
        <v>243</v>
      </c>
      <c r="J105" t="str">
        <f t="shared" ref="J105:J106" si="74">IF(I105="SOLES","4.4963","3.388")</f>
        <v>4.4963</v>
      </c>
      <c r="K105" t="s">
        <v>32</v>
      </c>
      <c r="L105" t="s">
        <v>33</v>
      </c>
      <c r="M105" t="s">
        <v>31</v>
      </c>
      <c r="N105" t="s">
        <v>340</v>
      </c>
      <c r="O105" t="s">
        <v>44</v>
      </c>
      <c r="P105" s="3">
        <v>15550217.179400001</v>
      </c>
      <c r="Q105" s="3">
        <v>5686229.8099999996</v>
      </c>
      <c r="R105" s="4">
        <v>4.4999999999999998E-2</v>
      </c>
      <c r="S105" s="3">
        <f>+Tabla9[[#This Row],[SAL_PROM_SOL]]</f>
        <v>15550217.179400001</v>
      </c>
      <c r="T105" s="4">
        <v>4.0500000000000001E-2</v>
      </c>
      <c r="U105" s="4">
        <v>4.4999999999999997E-3</v>
      </c>
      <c r="V105" s="3">
        <v>57098.030299999999</v>
      </c>
      <c r="W105" s="3">
        <v>51518.621200000001</v>
      </c>
      <c r="X105" s="3">
        <v>5579.4090999999999</v>
      </c>
      <c r="Y105" s="3">
        <v>43.9499</v>
      </c>
      <c r="Z105" s="3">
        <v>5535.4592000000002</v>
      </c>
      <c r="AA105">
        <v>30</v>
      </c>
      <c r="AB105" t="b">
        <f t="shared" si="60"/>
        <v>1</v>
      </c>
      <c r="AC105" s="3">
        <v>15000000</v>
      </c>
      <c r="AD105" t="s">
        <v>46</v>
      </c>
      <c r="AE105" s="8">
        <v>46155.560022106481</v>
      </c>
      <c r="AF105" s="6">
        <f t="shared" ref="AF105:AF106" si="75">S105/AC105</f>
        <v>1.0366811452933333</v>
      </c>
      <c r="AG105" s="6" t="b">
        <f>+Tabla9[[#This Row],[CUMPLIMIENTO]]&lt;100%</f>
        <v>0</v>
      </c>
      <c r="AH105" s="12">
        <f>((( (Tabla9[[#This Row],[FTP_CIERRE_MES]]/100)+1)^(30/360) -1)*(36000/30))/36000</f>
        <v>1.2239493171416853E-4</v>
      </c>
      <c r="AI105" s="3">
        <f>Tabla9[[#This Row],[FTP_DIARIO]]*Tabla9[[#This Row],[SALDO_PROM_CORREGIDO]]*Tabla9[[#This Row],[DIAS]]</f>
        <v>57098.033094394603</v>
      </c>
      <c r="AJ105" s="3">
        <f>Tabla9[[#This Row],[REAL_FTP_MONTO]]-Tabla9[[#This Row],[INT_REAL]]</f>
        <v>5579.4118943946014</v>
      </c>
      <c r="AK105" s="3">
        <f>Tabla9[[#This Row],[FTP_DIARIO]]*Tabla9[[#This Row],[COMPROMISO]]*Tabla9[[#This Row],[DIAS]]</f>
        <v>55077.719271375834</v>
      </c>
      <c r="AL105" s="13">
        <f>((( (Tabla9[[#This Row],[TASA_INT]])+1)^(30/360) -1)*(36000/30))/36000</f>
        <v>1.1046420632666217E-4</v>
      </c>
      <c r="AM105" s="3">
        <f>Tabla9[[#This Row],[TEA DIARIA]]*Tabla9[[#This Row],[SALDO_PROM_CORREGIDO]]*Tabla9[[#This Row],[DIAS]]</f>
        <v>51532.27196788945</v>
      </c>
      <c r="AN105" s="3">
        <f>Tabla9[[#This Row],[TEA DIARIA]]*Tabla9[[#This Row],[COMPROMISO]]*Tabla9[[#This Row],[DIAS]]</f>
        <v>49708.892846997973</v>
      </c>
      <c r="AO105" s="14">
        <f>+Tabla9[[#This Row],[PROYECTADO_FTP_MONTO]]-Tabla9[[#This Row],[PROYECCION_INTERES]]</f>
        <v>5368.8264243778613</v>
      </c>
      <c r="AP105" s="3">
        <f>Tabla9[[#This Row],[PROYECCION_MARGEN(FTP - Int compromiso)]]-Tabla9[[#This Row],[REAL_MARGEN(FTP - Int)]]</f>
        <v>-210.58547001674015</v>
      </c>
    </row>
    <row r="106" spans="1:42" x14ac:dyDescent="0.35">
      <c r="A106">
        <v>202604</v>
      </c>
      <c r="B106" s="7">
        <v>46142</v>
      </c>
      <c r="C106">
        <v>8400606</v>
      </c>
      <c r="D106" t="s">
        <v>29</v>
      </c>
      <c r="E106" t="s">
        <v>35</v>
      </c>
      <c r="F106" t="s">
        <v>112</v>
      </c>
      <c r="G106" t="s">
        <v>35</v>
      </c>
      <c r="H106" t="s">
        <v>508</v>
      </c>
      <c r="I106" t="s">
        <v>244</v>
      </c>
      <c r="J106" t="str">
        <f t="shared" si="74"/>
        <v>3.388</v>
      </c>
      <c r="K106" t="s">
        <v>32</v>
      </c>
      <c r="L106" t="s">
        <v>33</v>
      </c>
      <c r="M106" t="s">
        <v>34</v>
      </c>
      <c r="N106" t="s">
        <v>341</v>
      </c>
      <c r="O106" t="s">
        <v>44</v>
      </c>
      <c r="P106" s="3">
        <v>165320.49960000001</v>
      </c>
      <c r="Q106" s="3">
        <v>57911.625399999997</v>
      </c>
      <c r="R106" s="4">
        <v>3.39E-2</v>
      </c>
      <c r="S106" s="3">
        <f>+Tabla9[[#This Row],[SAL_PROM_SOL]]</f>
        <v>165320.49960000001</v>
      </c>
      <c r="T106" s="4">
        <v>0</v>
      </c>
      <c r="U106" s="4">
        <v>3.39E-2</v>
      </c>
      <c r="V106" s="3">
        <v>459.67489999999998</v>
      </c>
      <c r="W106" s="3">
        <v>0</v>
      </c>
      <c r="X106" s="3">
        <v>459.67489999999998</v>
      </c>
      <c r="Y106" s="3">
        <v>0</v>
      </c>
      <c r="Z106" s="3">
        <v>459.67489999999998</v>
      </c>
      <c r="AA106">
        <v>30</v>
      </c>
      <c r="AB106" t="b">
        <f t="shared" si="60"/>
        <v>1</v>
      </c>
      <c r="AC106" s="3">
        <v>150000</v>
      </c>
      <c r="AD106" t="s">
        <v>45</v>
      </c>
      <c r="AE106" s="8">
        <v>46155.560022106481</v>
      </c>
      <c r="AF106" s="6">
        <f t="shared" si="75"/>
        <v>1.1021366640000001</v>
      </c>
      <c r="AG106" s="6" t="b">
        <f>+Tabla9[[#This Row],[CUMPLIMIENTO]]&lt;100%</f>
        <v>0</v>
      </c>
      <c r="AH106" s="12">
        <f>((( (Tabla9[[#This Row],[FTP_CIERRE_MES]]/100)+1)^(30/360) -1)*(36000/30))/36000</f>
        <v>9.2680593701059222E-5</v>
      </c>
      <c r="AI106" s="3">
        <f>Tabla9[[#This Row],[FTP_DIARIO]]*Tabla9[[#This Row],[SALDO_PROM_CORREGIDO]]*Tabla9[[#This Row],[DIAS]]</f>
        <v>459.66006161651177</v>
      </c>
      <c r="AJ106" s="3">
        <f>Tabla9[[#This Row],[REAL_FTP_MONTO]]-Tabla9[[#This Row],[INT_REAL]]</f>
        <v>459.66006161651177</v>
      </c>
      <c r="AK106" s="3">
        <f>Tabla9[[#This Row],[FTP_DIARIO]]*Tabla9[[#This Row],[COMPROMISO]]*Tabla9[[#This Row],[DIAS]]</f>
        <v>417.06267165476652</v>
      </c>
      <c r="AL106" s="13">
        <f>((( (Tabla9[[#This Row],[TASA_INT]])+1)^(30/360) -1)*(36000/30))/36000</f>
        <v>0</v>
      </c>
      <c r="AM106" s="3">
        <f>Tabla9[[#This Row],[TEA DIARIA]]*Tabla9[[#This Row],[SALDO_PROM_CORREGIDO]]*Tabla9[[#This Row],[DIAS]]</f>
        <v>0</v>
      </c>
      <c r="AN106" s="3">
        <f>Tabla9[[#This Row],[TEA DIARIA]]*Tabla9[[#This Row],[COMPROMISO]]*Tabla9[[#This Row],[DIAS]]</f>
        <v>0</v>
      </c>
      <c r="AO106" s="14">
        <f>+Tabla9[[#This Row],[PROYECTADO_FTP_MONTO]]-Tabla9[[#This Row],[PROYECCION_INTERES]]</f>
        <v>417.06267165476652</v>
      </c>
      <c r="AP106" s="3">
        <f>Tabla9[[#This Row],[PROYECCION_MARGEN(FTP - Int compromiso)]]-Tabla9[[#This Row],[REAL_MARGEN(FTP - Int)]]</f>
        <v>-42.59738996174525</v>
      </c>
    </row>
    <row r="107" spans="1:42" x14ac:dyDescent="0.35">
      <c r="A107">
        <v>202604</v>
      </c>
      <c r="B107" s="7">
        <v>46142</v>
      </c>
      <c r="C107">
        <v>8430438</v>
      </c>
      <c r="D107" t="s">
        <v>36</v>
      </c>
      <c r="E107" t="s">
        <v>37</v>
      </c>
      <c r="F107" t="s">
        <v>113</v>
      </c>
      <c r="G107" t="s">
        <v>37</v>
      </c>
      <c r="H107" t="s">
        <v>498</v>
      </c>
      <c r="I107" t="s">
        <v>243</v>
      </c>
      <c r="J107" t="str">
        <f t="shared" ref="J107" si="76">IF(I107="SOLES","4.4963","3.388")</f>
        <v>4.4963</v>
      </c>
      <c r="K107" t="s">
        <v>32</v>
      </c>
      <c r="L107" t="s">
        <v>33</v>
      </c>
      <c r="M107" t="s">
        <v>31</v>
      </c>
      <c r="N107" t="s">
        <v>342</v>
      </c>
      <c r="O107" t="s">
        <v>44</v>
      </c>
      <c r="P107" s="3">
        <v>46601003.278499998</v>
      </c>
      <c r="Q107" s="3">
        <v>24986773.829999998</v>
      </c>
      <c r="R107" s="4">
        <v>4.4999999999999998E-2</v>
      </c>
      <c r="S107" s="3">
        <f>+Tabla9[[#This Row],[SAL_PROM_SOL]]</f>
        <v>46601003.278499998</v>
      </c>
      <c r="T107" s="4">
        <v>4.2000000000000003E-2</v>
      </c>
      <c r="U107" s="4">
        <v>3.0000000000000001E-3</v>
      </c>
      <c r="V107" s="3">
        <v>171111.80119999999</v>
      </c>
      <c r="W107" s="3">
        <v>160027.2108</v>
      </c>
      <c r="X107" s="3">
        <v>11084.590399999999</v>
      </c>
      <c r="Y107" s="3">
        <v>0</v>
      </c>
      <c r="Z107" s="3">
        <v>11084.590399999999</v>
      </c>
      <c r="AA107">
        <v>30</v>
      </c>
      <c r="AB107" t="b">
        <f t="shared" si="60"/>
        <v>1</v>
      </c>
      <c r="AC107" s="3">
        <v>70000000</v>
      </c>
      <c r="AD107" t="s">
        <v>46</v>
      </c>
      <c r="AE107" s="8">
        <v>46155.560022106481</v>
      </c>
      <c r="AF107" s="6">
        <f t="shared" ref="AF107:AF109" si="77">S107/AC107</f>
        <v>0.66572861826428564</v>
      </c>
      <c r="AG107" s="6" t="b">
        <f>+Tabla9[[#This Row],[CUMPLIMIENTO]]&lt;100%</f>
        <v>1</v>
      </c>
      <c r="AH107" s="12">
        <f>((( (Tabla9[[#This Row],[FTP_CIERRE_MES]]/100)+1)^(30/360) -1)*(36000/30))/36000</f>
        <v>1.2239493171416853E-4</v>
      </c>
      <c r="AI107" s="3">
        <f>Tabla9[[#This Row],[FTP_DIARIO]]*Tabla9[[#This Row],[SALDO_PROM_CORREGIDO]]*Tabla9[[#This Row],[DIAS]]</f>
        <v>171111.79842251254</v>
      </c>
      <c r="AJ107" s="3">
        <f>Tabla9[[#This Row],[REAL_FTP_MONTO]]-Tabla9[[#This Row],[INT_REAL]]</f>
        <v>11084.587622512539</v>
      </c>
      <c r="AK107" s="3">
        <f>Tabla9[[#This Row],[FTP_DIARIO]]*Tabla9[[#This Row],[COMPROMISO]]*Tabla9[[#This Row],[DIAS]]</f>
        <v>257029.3565997539</v>
      </c>
      <c r="AL107" s="13">
        <f>((( (Tabla9[[#This Row],[TASA_INT]])+1)^(30/360) -1)*(36000/30))/36000</f>
        <v>1.1447930966822876E-4</v>
      </c>
      <c r="AM107" s="3">
        <f>Tabla9[[#This Row],[TEA DIARIA]]*Tabla9[[#This Row],[SALDO_PROM_CORREGIDO]]*Tabla9[[#This Row],[DIAS]]</f>
        <v>160045.52055508635</v>
      </c>
      <c r="AN107" s="3">
        <f>Tabla9[[#This Row],[TEA DIARIA]]*Tabla9[[#This Row],[COMPROMISO]]*Tabla9[[#This Row],[DIAS]]</f>
        <v>240406.55030328041</v>
      </c>
      <c r="AO107" s="14">
        <f>+Tabla9[[#This Row],[PROYECTADO_FTP_MONTO]]-Tabla9[[#This Row],[PROYECCION_INTERES]]</f>
        <v>16622.806296473485</v>
      </c>
      <c r="AP107" s="3">
        <f>Tabla9[[#This Row],[PROYECCION_MARGEN(FTP - Int compromiso)]]-Tabla9[[#This Row],[REAL_MARGEN(FTP - Int)]]</f>
        <v>5538.218673960946</v>
      </c>
    </row>
    <row r="108" spans="1:42" x14ac:dyDescent="0.35">
      <c r="A108">
        <v>202604</v>
      </c>
      <c r="B108" s="7">
        <v>46142</v>
      </c>
      <c r="C108">
        <v>8437631</v>
      </c>
      <c r="D108" t="s">
        <v>36</v>
      </c>
      <c r="E108" t="s">
        <v>38</v>
      </c>
      <c r="F108" t="s">
        <v>114</v>
      </c>
      <c r="G108" t="s">
        <v>38</v>
      </c>
      <c r="H108" t="s">
        <v>507</v>
      </c>
      <c r="I108" t="s">
        <v>244</v>
      </c>
      <c r="J108" t="str">
        <f t="shared" ref="J108:J111" si="78">IF(I108="SOLES","4.4963","3.388")</f>
        <v>3.388</v>
      </c>
      <c r="K108" t="s">
        <v>32</v>
      </c>
      <c r="L108" t="s">
        <v>33</v>
      </c>
      <c r="M108" t="s">
        <v>34</v>
      </c>
      <c r="N108" t="s">
        <v>343</v>
      </c>
      <c r="O108" t="s">
        <v>44</v>
      </c>
      <c r="P108" s="3">
        <v>33706910.401699997</v>
      </c>
      <c r="Q108" s="3">
        <v>35265727.6052</v>
      </c>
      <c r="R108" s="4">
        <v>3.39E-2</v>
      </c>
      <c r="S108" s="3">
        <f>+Tabla9[[#This Row],[SAL_PROM_SOL]]</f>
        <v>33706910.401699997</v>
      </c>
      <c r="T108" s="4">
        <v>3.2000000000000001E-2</v>
      </c>
      <c r="U108" s="4">
        <v>1.9E-3</v>
      </c>
      <c r="V108" s="3">
        <v>93719.286300000007</v>
      </c>
      <c r="W108" s="3">
        <v>88585.429000000004</v>
      </c>
      <c r="X108" s="3">
        <v>5133.8572999999997</v>
      </c>
      <c r="Y108" s="3">
        <v>0</v>
      </c>
      <c r="Z108" s="3">
        <v>5133.8572999999997</v>
      </c>
      <c r="AA108">
        <v>30</v>
      </c>
      <c r="AB108" t="b">
        <f t="shared" si="60"/>
        <v>1</v>
      </c>
      <c r="AC108" s="3">
        <v>30000000</v>
      </c>
      <c r="AD108" t="s">
        <v>46</v>
      </c>
      <c r="AE108" s="8">
        <v>46155.560022106481</v>
      </c>
      <c r="AF108" s="6">
        <f t="shared" si="77"/>
        <v>1.1235636800566666</v>
      </c>
      <c r="AG108" s="6" t="b">
        <f>+Tabla9[[#This Row],[CUMPLIMIENTO]]&lt;100%</f>
        <v>0</v>
      </c>
      <c r="AH108" s="12">
        <f>((( (Tabla9[[#This Row],[FTP_CIERRE_MES]]/100)+1)^(30/360) -1)*(36000/30))/36000</f>
        <v>9.2680593701059222E-5</v>
      </c>
      <c r="AI108" s="3">
        <f>Tabla9[[#This Row],[FTP_DIARIO]]*Tabla9[[#This Row],[SALDO_PROM_CORREGIDO]]*Tabla9[[#This Row],[DIAS]]</f>
        <v>93719.294035738931</v>
      </c>
      <c r="AJ108" s="3">
        <f>Tabla9[[#This Row],[REAL_FTP_MONTO]]-Tabla9[[#This Row],[INT_REAL]]</f>
        <v>5133.865035738927</v>
      </c>
      <c r="AK108" s="3">
        <f>Tabla9[[#This Row],[FTP_DIARIO]]*Tabla9[[#This Row],[COMPROMISO]]*Tabla9[[#This Row],[DIAS]]</f>
        <v>83412.534330953305</v>
      </c>
      <c r="AL108" s="13">
        <f>((( (Tabla9[[#This Row],[TASA_INT]])+1)^(30/360) -1)*(36000/30))/36000</f>
        <v>8.7611231959483507E-5</v>
      </c>
      <c r="AM108" s="3">
        <f>Tabla9[[#This Row],[TEA DIARIA]]*Tabla9[[#This Row],[SALDO_PROM_CORREGIDO]]*Tabla9[[#This Row],[DIAS]]</f>
        <v>88593.118375225982</v>
      </c>
      <c r="AN108" s="3">
        <f>Tabla9[[#This Row],[TEA DIARIA]]*Tabla9[[#This Row],[COMPROMISO]]*Tabla9[[#This Row],[DIAS]]</f>
        <v>78850.108763535143</v>
      </c>
      <c r="AO108" s="14">
        <f>+Tabla9[[#This Row],[PROYECTADO_FTP_MONTO]]-Tabla9[[#This Row],[PROYECCION_INTERES]]</f>
        <v>4562.4255674181622</v>
      </c>
      <c r="AP108" s="3">
        <f>Tabla9[[#This Row],[PROYECCION_MARGEN(FTP - Int compromiso)]]-Tabla9[[#This Row],[REAL_MARGEN(FTP - Int)]]</f>
        <v>-571.43946832076472</v>
      </c>
    </row>
    <row r="109" spans="1:42" x14ac:dyDescent="0.35">
      <c r="A109">
        <v>202604</v>
      </c>
      <c r="B109" s="7">
        <v>46142</v>
      </c>
      <c r="C109">
        <v>8437631</v>
      </c>
      <c r="D109" t="s">
        <v>36</v>
      </c>
      <c r="E109" t="s">
        <v>38</v>
      </c>
      <c r="F109" t="s">
        <v>114</v>
      </c>
      <c r="G109" t="s">
        <v>38</v>
      </c>
      <c r="H109" t="s">
        <v>507</v>
      </c>
      <c r="I109" t="s">
        <v>243</v>
      </c>
      <c r="J109" t="str">
        <f t="shared" si="78"/>
        <v>4.4963</v>
      </c>
      <c r="K109" t="s">
        <v>32</v>
      </c>
      <c r="L109" t="s">
        <v>33</v>
      </c>
      <c r="M109" t="s">
        <v>31</v>
      </c>
      <c r="N109" t="s">
        <v>330</v>
      </c>
      <c r="O109" t="s">
        <v>44</v>
      </c>
      <c r="P109" s="3">
        <v>11836308.191500001</v>
      </c>
      <c r="Q109" s="3">
        <v>8553158.8499999996</v>
      </c>
      <c r="R109" s="4">
        <v>4.4999999999999998E-2</v>
      </c>
      <c r="S109" s="3">
        <f>+Tabla9[[#This Row],[SAL_PROM_SOL]]</f>
        <v>11836308.191500001</v>
      </c>
      <c r="T109" s="4">
        <v>3.44E-2</v>
      </c>
      <c r="U109" s="4">
        <v>1.06E-2</v>
      </c>
      <c r="V109" s="3">
        <v>43461.1198</v>
      </c>
      <c r="W109" s="3">
        <v>33419.231599999999</v>
      </c>
      <c r="X109" s="3">
        <v>10041.888199999999</v>
      </c>
      <c r="Y109" s="3">
        <v>43.9499</v>
      </c>
      <c r="Z109" s="3">
        <v>9997.9382999999998</v>
      </c>
      <c r="AA109">
        <v>30</v>
      </c>
      <c r="AB109" t="b">
        <f t="shared" si="60"/>
        <v>1</v>
      </c>
      <c r="AC109" s="3">
        <v>30000000</v>
      </c>
      <c r="AD109" t="s">
        <v>46</v>
      </c>
      <c r="AE109" s="8">
        <v>46155.560022106481</v>
      </c>
      <c r="AF109" s="6">
        <f t="shared" si="77"/>
        <v>0.39454360638333336</v>
      </c>
      <c r="AG109" s="6" t="b">
        <f>+Tabla9[[#This Row],[CUMPLIMIENTO]]&lt;100%</f>
        <v>1</v>
      </c>
      <c r="AH109" s="12">
        <f>((( (Tabla9[[#This Row],[FTP_CIERRE_MES]]/100)+1)^(30/360) -1)*(36000/30))/36000</f>
        <v>1.2239493171416853E-4</v>
      </c>
      <c r="AI109" s="3">
        <f>Tabla9[[#This Row],[FTP_DIARIO]]*Tabla9[[#This Row],[SALDO_PROM_CORREGIDO]]*Tabla9[[#This Row],[DIAS]]</f>
        <v>43461.123985394886</v>
      </c>
      <c r="AJ109" s="3">
        <f>Tabla9[[#This Row],[REAL_FTP_MONTO]]-Tabla9[[#This Row],[INT_REAL]]</f>
        <v>10041.892385394887</v>
      </c>
      <c r="AK109" s="3">
        <f>Tabla9[[#This Row],[FTP_DIARIO]]*Tabla9[[#This Row],[COMPROMISO]]*Tabla9[[#This Row],[DIAS]]</f>
        <v>110155.43854275167</v>
      </c>
      <c r="AL109" s="13">
        <f>((( (Tabla9[[#This Row],[TASA_INT]])+1)^(30/360) -1)*(36000/30))/36000</f>
        <v>9.4081265739376368E-5</v>
      </c>
      <c r="AM109" s="3">
        <f>Tabla9[[#This Row],[TEA DIARIA]]*Tabla9[[#This Row],[SALDO_PROM_CORREGIDO]]*Tabla9[[#This Row],[DIAS]]</f>
        <v>33407.245690130068</v>
      </c>
      <c r="AN109" s="3">
        <f>Tabla9[[#This Row],[TEA DIARIA]]*Tabla9[[#This Row],[COMPROMISO]]*Tabla9[[#This Row],[DIAS]]</f>
        <v>84673.139165438741</v>
      </c>
      <c r="AO109" s="14">
        <f>+Tabla9[[#This Row],[PROYECTADO_FTP_MONTO]]-Tabla9[[#This Row],[PROYECCION_INTERES]]</f>
        <v>25482.299377312927</v>
      </c>
      <c r="AP109" s="3">
        <f>Tabla9[[#This Row],[PROYECCION_MARGEN(FTP - Int compromiso)]]-Tabla9[[#This Row],[REAL_MARGEN(FTP - Int)]]</f>
        <v>15440.40699191804</v>
      </c>
    </row>
    <row r="110" spans="1:42" x14ac:dyDescent="0.35">
      <c r="A110">
        <v>202604</v>
      </c>
      <c r="B110" s="7">
        <v>46142</v>
      </c>
      <c r="C110">
        <v>8443090</v>
      </c>
      <c r="D110" t="s">
        <v>36</v>
      </c>
      <c r="E110" t="s">
        <v>38</v>
      </c>
      <c r="F110" t="s">
        <v>115</v>
      </c>
      <c r="G110" t="s">
        <v>38</v>
      </c>
      <c r="H110" t="s">
        <v>501</v>
      </c>
      <c r="I110" t="s">
        <v>244</v>
      </c>
      <c r="J110" t="str">
        <f t="shared" si="78"/>
        <v>3.388</v>
      </c>
      <c r="K110" t="s">
        <v>32</v>
      </c>
      <c r="L110" t="s">
        <v>33</v>
      </c>
      <c r="M110" t="s">
        <v>34</v>
      </c>
      <c r="N110" t="s">
        <v>344</v>
      </c>
      <c r="O110" t="s">
        <v>44</v>
      </c>
      <c r="P110" s="3">
        <v>132664585.22319999</v>
      </c>
      <c r="Q110" s="3">
        <v>96699221.447600007</v>
      </c>
      <c r="R110" s="4">
        <v>3.39E-2</v>
      </c>
      <c r="S110" s="3">
        <f>+Tabla9[[#This Row],[SAL_PROM_SOL]]</f>
        <v>132664585.22319999</v>
      </c>
      <c r="T110" s="4">
        <v>3.1E-2</v>
      </c>
      <c r="U110" s="4">
        <v>2.8999999999999998E-3</v>
      </c>
      <c r="V110" s="3">
        <v>368862.9817</v>
      </c>
      <c r="W110" s="3">
        <v>337913.02840000001</v>
      </c>
      <c r="X110" s="3">
        <v>30949.953300000001</v>
      </c>
      <c r="Y110" s="3">
        <v>0</v>
      </c>
      <c r="Z110" s="3">
        <v>30949.953300000001</v>
      </c>
      <c r="AA110">
        <v>30</v>
      </c>
      <c r="AB110" t="b">
        <f t="shared" si="60"/>
        <v>1</v>
      </c>
      <c r="AC110" s="3">
        <v>30000000</v>
      </c>
      <c r="AD110" t="s">
        <v>46</v>
      </c>
      <c r="AE110" s="8">
        <v>46155.560022106481</v>
      </c>
      <c r="AF110" s="6">
        <f t="shared" ref="AF110:AF111" si="79">S110/AC110</f>
        <v>4.4221528407733333</v>
      </c>
      <c r="AG110" s="6" t="b">
        <f>+Tabla9[[#This Row],[CUMPLIMIENTO]]&lt;100%</f>
        <v>0</v>
      </c>
      <c r="AH110" s="12">
        <f>((( (Tabla9[[#This Row],[FTP_CIERRE_MES]]/100)+1)^(30/360) -1)*(36000/30))/36000</f>
        <v>9.2680593701059222E-5</v>
      </c>
      <c r="AI110" s="3">
        <f>Tabla9[[#This Row],[FTP_DIARIO]]*Tabla9[[#This Row],[SALDO_PROM_CORREGIDO]]*Tabla9[[#This Row],[DIAS]]</f>
        <v>368862.97564772831</v>
      </c>
      <c r="AJ110" s="3">
        <f>Tabla9[[#This Row],[REAL_FTP_MONTO]]-Tabla9[[#This Row],[INT_REAL]]</f>
        <v>30949.947247728298</v>
      </c>
      <c r="AK110" s="3">
        <f>Tabla9[[#This Row],[FTP_DIARIO]]*Tabla9[[#This Row],[COMPROMISO]]*Tabla9[[#This Row],[DIAS]]</f>
        <v>83412.534330953305</v>
      </c>
      <c r="AL110" s="13">
        <f>((( (Tabla9[[#This Row],[TASA_INT]])+1)^(30/360) -1)*(36000/30))/36000</f>
        <v>8.4911312973775152E-5</v>
      </c>
      <c r="AM110" s="3">
        <f>Tabla9[[#This Row],[TEA DIARIA]]*Tabla9[[#This Row],[SALDO_PROM_CORREGIDO]]*Tabla9[[#This Row],[DIAS]]</f>
        <v>337941.72349269601</v>
      </c>
      <c r="AN110" s="3">
        <f>Tabla9[[#This Row],[TEA DIARIA]]*Tabla9[[#This Row],[COMPROMISO]]*Tabla9[[#This Row],[DIAS]]</f>
        <v>76420.181676397639</v>
      </c>
      <c r="AO110" s="14">
        <f>+Tabla9[[#This Row],[PROYECTADO_FTP_MONTO]]-Tabla9[[#This Row],[PROYECCION_INTERES]]</f>
        <v>6992.352654555667</v>
      </c>
      <c r="AP110" s="3">
        <f>Tabla9[[#This Row],[PROYECCION_MARGEN(FTP - Int compromiso)]]-Tabla9[[#This Row],[REAL_MARGEN(FTP - Int)]]</f>
        <v>-23957.594593172631</v>
      </c>
    </row>
    <row r="111" spans="1:42" x14ac:dyDescent="0.35">
      <c r="A111">
        <v>202604</v>
      </c>
      <c r="B111" s="7">
        <v>46142</v>
      </c>
      <c r="C111">
        <v>8446535</v>
      </c>
      <c r="D111" t="s">
        <v>42</v>
      </c>
      <c r="E111" t="s">
        <v>48</v>
      </c>
      <c r="F111" t="s">
        <v>116</v>
      </c>
      <c r="G111" t="s">
        <v>48</v>
      </c>
      <c r="H111" t="s">
        <v>495</v>
      </c>
      <c r="I111" t="s">
        <v>243</v>
      </c>
      <c r="J111" t="str">
        <f t="shared" si="78"/>
        <v>4.4963</v>
      </c>
      <c r="K111" t="s">
        <v>32</v>
      </c>
      <c r="L111" t="s">
        <v>33</v>
      </c>
      <c r="M111" t="s">
        <v>31</v>
      </c>
      <c r="N111" t="s">
        <v>345</v>
      </c>
      <c r="O111" t="s">
        <v>44</v>
      </c>
      <c r="P111" s="3">
        <v>17088148.201299999</v>
      </c>
      <c r="Q111" s="3">
        <v>10202669.640000001</v>
      </c>
      <c r="R111" s="4">
        <v>4.4999999999999998E-2</v>
      </c>
      <c r="S111" s="3">
        <f>+Tabla9[[#This Row],[SAL_PROM_SOL]]</f>
        <v>17088148.201299999</v>
      </c>
      <c r="T111" s="4">
        <v>1.78E-2</v>
      </c>
      <c r="U111" s="4">
        <v>2.7199999999999998E-2</v>
      </c>
      <c r="V111" s="3">
        <v>62745.080499999996</v>
      </c>
      <c r="W111" s="3">
        <v>25098.671200000001</v>
      </c>
      <c r="X111" s="3">
        <v>37646.409299999999</v>
      </c>
      <c r="Y111" s="3">
        <v>0</v>
      </c>
      <c r="Z111" s="3">
        <v>37646.409299999999</v>
      </c>
      <c r="AA111">
        <v>30</v>
      </c>
      <c r="AB111" t="b">
        <f t="shared" si="60"/>
        <v>1</v>
      </c>
      <c r="AC111" s="3">
        <v>10000000</v>
      </c>
      <c r="AD111" t="s">
        <v>45</v>
      </c>
      <c r="AE111" s="8">
        <v>46155.560022106481</v>
      </c>
      <c r="AF111" s="6">
        <f t="shared" si="79"/>
        <v>1.70881482013</v>
      </c>
      <c r="AG111" s="6" t="b">
        <f>+Tabla9[[#This Row],[CUMPLIMIENTO]]&lt;100%</f>
        <v>0</v>
      </c>
      <c r="AH111" s="12">
        <f>((( (Tabla9[[#This Row],[FTP_CIERRE_MES]]/100)+1)^(30/360) -1)*(36000/30))/36000</f>
        <v>1.2239493171416853E-4</v>
      </c>
      <c r="AI111" s="3">
        <f>Tabla9[[#This Row],[FTP_DIARIO]]*Tabla9[[#This Row],[SALDO_PROM_CORREGIDO]]*Tabla9[[#This Row],[DIAS]]</f>
        <v>62745.081966591155</v>
      </c>
      <c r="AJ111" s="3">
        <f>Tabla9[[#This Row],[REAL_FTP_MONTO]]-Tabla9[[#This Row],[INT_REAL]]</f>
        <v>37646.410766591158</v>
      </c>
      <c r="AK111" s="3">
        <f>Tabla9[[#This Row],[FTP_DIARIO]]*Tabla9[[#This Row],[COMPROMISO]]*Tabla9[[#This Row],[DIAS]]</f>
        <v>36718.479514250561</v>
      </c>
      <c r="AL111" s="13">
        <f>((( (Tabla9[[#This Row],[TASA_INT]])+1)^(30/360) -1)*(36000/30))/36000</f>
        <v>4.9045588838573613E-5</v>
      </c>
      <c r="AM111" s="3">
        <f>Tabla9[[#This Row],[TEA DIARIA]]*Tabla9[[#This Row],[SALDO_PROM_CORREGIDO]]*Tabla9[[#This Row],[DIAS]]</f>
        <v>25142.94872080713</v>
      </c>
      <c r="AN111" s="3">
        <f>Tabla9[[#This Row],[TEA DIARIA]]*Tabla9[[#This Row],[COMPROMISO]]*Tabla9[[#This Row],[DIAS]]</f>
        <v>14713.676651572083</v>
      </c>
      <c r="AO111" s="14">
        <f>+Tabla9[[#This Row],[PROYECTADO_FTP_MONTO]]-Tabla9[[#This Row],[PROYECCION_INTERES]]</f>
        <v>22004.80286267848</v>
      </c>
      <c r="AP111" s="3">
        <f>Tabla9[[#This Row],[PROYECCION_MARGEN(FTP - Int compromiso)]]-Tabla9[[#This Row],[REAL_MARGEN(FTP - Int)]]</f>
        <v>-15641.607903912678</v>
      </c>
    </row>
    <row r="112" spans="1:42" x14ac:dyDescent="0.35">
      <c r="A112">
        <v>202604</v>
      </c>
      <c r="B112" s="7">
        <v>46142</v>
      </c>
      <c r="C112">
        <v>8466911</v>
      </c>
      <c r="D112" t="s">
        <v>36</v>
      </c>
      <c r="E112" t="s">
        <v>37</v>
      </c>
      <c r="F112" t="s">
        <v>117</v>
      </c>
      <c r="G112" t="s">
        <v>37</v>
      </c>
      <c r="H112" t="s">
        <v>498</v>
      </c>
      <c r="I112" t="s">
        <v>244</v>
      </c>
      <c r="J112" t="str">
        <f t="shared" ref="J112" si="80">IF(I112="SOLES","4.4963","3.388")</f>
        <v>3.388</v>
      </c>
      <c r="K112" t="s">
        <v>32</v>
      </c>
      <c r="L112" t="s">
        <v>33</v>
      </c>
      <c r="M112" t="s">
        <v>34</v>
      </c>
      <c r="N112" t="s">
        <v>346</v>
      </c>
      <c r="O112" t="s">
        <v>44</v>
      </c>
      <c r="P112" s="3">
        <v>786575.93610000005</v>
      </c>
      <c r="Q112" s="3">
        <v>522236.05920000002</v>
      </c>
      <c r="R112" s="4">
        <v>3.39E-2</v>
      </c>
      <c r="S112" s="3">
        <f>+Tabla9[[#This Row],[SAL_PROM_SOL]]</f>
        <v>786575.93610000005</v>
      </c>
      <c r="T112" s="4">
        <v>3.5000000000000001E-3</v>
      </c>
      <c r="U112" s="4">
        <v>3.04E-2</v>
      </c>
      <c r="V112" s="3">
        <v>2186.9935999999998</v>
      </c>
      <c r="W112" s="3">
        <v>229.13159999999999</v>
      </c>
      <c r="X112" s="3">
        <v>1957.8620000000001</v>
      </c>
      <c r="Y112" s="3">
        <v>36.426900000000003</v>
      </c>
      <c r="Z112" s="3">
        <v>1921.4350999999999</v>
      </c>
      <c r="AA112">
        <v>30</v>
      </c>
      <c r="AB112" t="b">
        <f t="shared" si="60"/>
        <v>1</v>
      </c>
      <c r="AC112" s="3">
        <v>15000000</v>
      </c>
      <c r="AD112" t="s">
        <v>46</v>
      </c>
      <c r="AE112" s="8">
        <v>46155.560022106481</v>
      </c>
      <c r="AF112" s="6">
        <f t="shared" ref="AF112" si="81">S112/AC112</f>
        <v>5.2438395740000004E-2</v>
      </c>
      <c r="AG112" s="6" t="b">
        <f>+Tabla9[[#This Row],[CUMPLIMIENTO]]&lt;100%</f>
        <v>1</v>
      </c>
      <c r="AH112" s="12">
        <f>((( (Tabla9[[#This Row],[FTP_CIERRE_MES]]/100)+1)^(30/360) -1)*(36000/30))/36000</f>
        <v>9.2680593701059222E-5</v>
      </c>
      <c r="AI112" s="3">
        <f>Tabla9[[#This Row],[FTP_DIARIO]]*Tabla9[[#This Row],[SALDO_PROM_CORREGIDO]]*Tabla9[[#This Row],[DIAS]]</f>
        <v>2187.0097424614328</v>
      </c>
      <c r="AJ112" s="3">
        <f>Tabla9[[#This Row],[REAL_FTP_MONTO]]-Tabla9[[#This Row],[INT_REAL]]</f>
        <v>1957.8781424614328</v>
      </c>
      <c r="AK112" s="3">
        <f>Tabla9[[#This Row],[FTP_DIARIO]]*Tabla9[[#This Row],[COMPROMISO]]*Tabla9[[#This Row],[DIAS]]</f>
        <v>41706.267165476653</v>
      </c>
      <c r="AL112" s="13">
        <f>((( (Tabla9[[#This Row],[TASA_INT]])+1)^(30/360) -1)*(36000/30))/36000</f>
        <v>9.7066609431835826E-6</v>
      </c>
      <c r="AM112" s="3">
        <f>Tabla9[[#This Row],[TEA DIARIA]]*Tabla9[[#This Row],[SALDO_PROM_CORREGIDO]]*Tabla9[[#This Row],[DIAS]]</f>
        <v>229.0507775336981</v>
      </c>
      <c r="AN112" s="3">
        <f>Tabla9[[#This Row],[TEA DIARIA]]*Tabla9[[#This Row],[COMPROMISO]]*Tabla9[[#This Row],[DIAS]]</f>
        <v>4367.9974244326122</v>
      </c>
      <c r="AO112" s="14">
        <f>+Tabla9[[#This Row],[PROYECTADO_FTP_MONTO]]-Tabla9[[#This Row],[PROYECCION_INTERES]]</f>
        <v>37338.269741044038</v>
      </c>
      <c r="AP112" s="3">
        <f>Tabla9[[#This Row],[PROYECCION_MARGEN(FTP - Int compromiso)]]-Tabla9[[#This Row],[REAL_MARGEN(FTP - Int)]]</f>
        <v>35380.391598582602</v>
      </c>
    </row>
    <row r="113" spans="1:42" x14ac:dyDescent="0.35">
      <c r="A113">
        <v>202604</v>
      </c>
      <c r="B113" s="7">
        <v>46142</v>
      </c>
      <c r="C113">
        <v>8701651</v>
      </c>
      <c r="D113" t="s">
        <v>29</v>
      </c>
      <c r="E113" t="s">
        <v>40</v>
      </c>
      <c r="F113" t="s">
        <v>118</v>
      </c>
      <c r="G113" t="s">
        <v>40</v>
      </c>
      <c r="H113" t="s">
        <v>509</v>
      </c>
      <c r="I113" t="s">
        <v>243</v>
      </c>
      <c r="J113" t="str">
        <f t="shared" ref="J113" si="82">IF(I113="SOLES","4.4963","3.388")</f>
        <v>4.4963</v>
      </c>
      <c r="K113" t="s">
        <v>32</v>
      </c>
      <c r="L113" t="s">
        <v>33</v>
      </c>
      <c r="M113" t="s">
        <v>31</v>
      </c>
      <c r="N113" t="s">
        <v>347</v>
      </c>
      <c r="O113" t="s">
        <v>44</v>
      </c>
      <c r="P113" s="3">
        <v>453606.1398</v>
      </c>
      <c r="Q113" s="3">
        <v>122508.06</v>
      </c>
      <c r="R113" s="4">
        <v>4.4999999999999998E-2</v>
      </c>
      <c r="S113" s="3">
        <f>+Tabla9[[#This Row],[SAL_PROM_SOL]]</f>
        <v>453606.1398</v>
      </c>
      <c r="T113" s="4">
        <v>3.9E-2</v>
      </c>
      <c r="U113" s="4">
        <v>6.0000000000000001E-3</v>
      </c>
      <c r="V113" s="3">
        <v>1665.5685000000001</v>
      </c>
      <c r="W113" s="3">
        <v>1448.3598999999999</v>
      </c>
      <c r="X113" s="3">
        <v>217.20859999999999</v>
      </c>
      <c r="Y113" s="3">
        <v>43.9499</v>
      </c>
      <c r="Z113" s="3">
        <v>173.2587</v>
      </c>
      <c r="AA113">
        <v>30</v>
      </c>
      <c r="AB113" t="b">
        <f t="shared" si="60"/>
        <v>1</v>
      </c>
      <c r="AC113" s="3">
        <v>1000000</v>
      </c>
      <c r="AD113" t="s">
        <v>46</v>
      </c>
      <c r="AE113" s="8">
        <v>46155.560022106481</v>
      </c>
      <c r="AF113" s="6">
        <f t="shared" ref="AF113" si="83">S113/AC113</f>
        <v>0.45360613980000003</v>
      </c>
      <c r="AG113" s="6" t="b">
        <f>+Tabla9[[#This Row],[CUMPLIMIENTO]]&lt;100%</f>
        <v>1</v>
      </c>
      <c r="AH113" s="12">
        <f>((( (Tabla9[[#This Row],[FTP_CIERRE_MES]]/100)+1)^(30/360) -1)*(36000/30))/36000</f>
        <v>1.2239493171416853E-4</v>
      </c>
      <c r="AI113" s="3">
        <f>Tabla9[[#This Row],[FTP_DIARIO]]*Tabla9[[#This Row],[SALDO_PROM_CORREGIDO]]*Tabla9[[#This Row],[DIAS]]</f>
        <v>1665.5727751784575</v>
      </c>
      <c r="AJ113" s="3">
        <f>Tabla9[[#This Row],[REAL_FTP_MONTO]]-Tabla9[[#This Row],[INT_REAL]]</f>
        <v>217.21287517845758</v>
      </c>
      <c r="AK113" s="3">
        <f>Tabla9[[#This Row],[FTP_DIARIO]]*Tabla9[[#This Row],[COMPROMISO]]*Tabla9[[#This Row],[DIAS]]</f>
        <v>3671.8479514250557</v>
      </c>
      <c r="AL113" s="13">
        <f>((( (Tabla9[[#This Row],[TASA_INT]])+1)^(30/360) -1)*(36000/30))/36000</f>
        <v>1.0644379359607085E-4</v>
      </c>
      <c r="AM113" s="3">
        <f>Tabla9[[#This Row],[TEA DIARIA]]*Tabla9[[#This Row],[SALDO_PROM_CORREGIDO]]*Tabla9[[#This Row],[DIAS]]</f>
        <v>1448.5067495634498</v>
      </c>
      <c r="AN113" s="3">
        <f>Tabla9[[#This Row],[TEA DIARIA]]*Tabla9[[#This Row],[COMPROMISO]]*Tabla9[[#This Row],[DIAS]]</f>
        <v>3193.3138078821253</v>
      </c>
      <c r="AO113" s="14">
        <f>+Tabla9[[#This Row],[PROYECTADO_FTP_MONTO]]-Tabla9[[#This Row],[PROYECCION_INTERES]]</f>
        <v>478.53414354293045</v>
      </c>
      <c r="AP113" s="3">
        <f>Tabla9[[#This Row],[PROYECCION_MARGEN(FTP - Int compromiso)]]-Tabla9[[#This Row],[REAL_MARGEN(FTP - Int)]]</f>
        <v>261.32126836447287</v>
      </c>
    </row>
    <row r="114" spans="1:42" x14ac:dyDescent="0.35">
      <c r="A114">
        <v>202604</v>
      </c>
      <c r="B114" s="7">
        <v>46142</v>
      </c>
      <c r="C114">
        <v>8718030</v>
      </c>
      <c r="D114" t="s">
        <v>29</v>
      </c>
      <c r="E114" t="s">
        <v>40</v>
      </c>
      <c r="F114" t="s">
        <v>119</v>
      </c>
      <c r="G114" t="s">
        <v>40</v>
      </c>
      <c r="H114" t="s">
        <v>509</v>
      </c>
      <c r="I114" t="s">
        <v>243</v>
      </c>
      <c r="J114" t="str">
        <f t="shared" ref="J114" si="84">IF(I114="SOLES","4.4963","3.388")</f>
        <v>4.4963</v>
      </c>
      <c r="K114" t="s">
        <v>32</v>
      </c>
      <c r="L114" t="s">
        <v>33</v>
      </c>
      <c r="M114" t="s">
        <v>31</v>
      </c>
      <c r="N114" t="s">
        <v>348</v>
      </c>
      <c r="O114" t="s">
        <v>44</v>
      </c>
      <c r="P114" s="3">
        <v>660689.3308</v>
      </c>
      <c r="Q114" s="3">
        <v>204114.57</v>
      </c>
      <c r="R114" s="4">
        <v>4.4999999999999998E-2</v>
      </c>
      <c r="S114" s="3">
        <f>+Tabla9[[#This Row],[SAL_PROM_SOL]]</f>
        <v>660689.3308</v>
      </c>
      <c r="T114" s="4">
        <v>3.6700000000000003E-2</v>
      </c>
      <c r="U114" s="4">
        <v>8.3000000000000001E-3</v>
      </c>
      <c r="V114" s="3">
        <v>2425.9515999999999</v>
      </c>
      <c r="W114" s="3">
        <v>1987.0689</v>
      </c>
      <c r="X114" s="3">
        <v>438.8827</v>
      </c>
      <c r="Y114" s="3">
        <v>43.9499</v>
      </c>
      <c r="Z114" s="3">
        <v>394.93279999999999</v>
      </c>
      <c r="AA114">
        <v>30</v>
      </c>
      <c r="AB114" t="b">
        <f t="shared" si="60"/>
        <v>1</v>
      </c>
      <c r="AC114" s="3">
        <v>100000</v>
      </c>
      <c r="AD114" t="s">
        <v>46</v>
      </c>
      <c r="AE114" s="8">
        <v>46155.560022106481</v>
      </c>
      <c r="AF114" s="6">
        <f t="shared" ref="AF114" si="85">S114/AC114</f>
        <v>6.6068933080000001</v>
      </c>
      <c r="AG114" s="6" t="b">
        <f>+Tabla9[[#This Row],[CUMPLIMIENTO]]&lt;100%</f>
        <v>0</v>
      </c>
      <c r="AH114" s="12">
        <f>((( (Tabla9[[#This Row],[FTP_CIERRE_MES]]/100)+1)^(30/360) -1)*(36000/30))/36000</f>
        <v>1.2239493171416853E-4</v>
      </c>
      <c r="AI114" s="3">
        <f>Tabla9[[#This Row],[FTP_DIARIO]]*Tabla9[[#This Row],[SALDO_PROM_CORREGIDO]]*Tabla9[[#This Row],[DIAS]]</f>
        <v>2425.950765826371</v>
      </c>
      <c r="AJ114" s="3">
        <f>Tabla9[[#This Row],[REAL_FTP_MONTO]]-Tabla9[[#This Row],[INT_REAL]]</f>
        <v>438.88186582637104</v>
      </c>
      <c r="AK114" s="3">
        <f>Tabla9[[#This Row],[FTP_DIARIO]]*Tabla9[[#This Row],[COMPROMISO]]*Tabla9[[#This Row],[DIAS]]</f>
        <v>367.18479514250555</v>
      </c>
      <c r="AL114" s="13">
        <f>((( (Tabla9[[#This Row],[TASA_INT]])+1)^(30/360) -1)*(36000/30))/36000</f>
        <v>1.0026881508099865E-4</v>
      </c>
      <c r="AM114" s="3">
        <f>Tabla9[[#This Row],[TEA DIARIA]]*Tabla9[[#This Row],[SALDO_PROM_CORREGIDO]]*Tabla9[[#This Row],[DIAS]]</f>
        <v>1987.3960900792183</v>
      </c>
      <c r="AN114" s="3">
        <f>Tabla9[[#This Row],[TEA DIARIA]]*Tabla9[[#This Row],[COMPROMISO]]*Tabla9[[#This Row],[DIAS]]</f>
        <v>300.80644524299595</v>
      </c>
      <c r="AO114" s="14">
        <f>+Tabla9[[#This Row],[PROYECTADO_FTP_MONTO]]-Tabla9[[#This Row],[PROYECCION_INTERES]]</f>
        <v>66.378349899509601</v>
      </c>
      <c r="AP114" s="3">
        <f>Tabla9[[#This Row],[PROYECCION_MARGEN(FTP - Int compromiso)]]-Tabla9[[#This Row],[REAL_MARGEN(FTP - Int)]]</f>
        <v>-372.50351592686144</v>
      </c>
    </row>
    <row r="115" spans="1:42" x14ac:dyDescent="0.35">
      <c r="A115">
        <v>202604</v>
      </c>
      <c r="B115" s="7">
        <v>46142</v>
      </c>
      <c r="C115">
        <v>8744234</v>
      </c>
      <c r="D115" t="s">
        <v>29</v>
      </c>
      <c r="E115" t="s">
        <v>40</v>
      </c>
      <c r="F115" t="s">
        <v>120</v>
      </c>
      <c r="G115" t="s">
        <v>40</v>
      </c>
      <c r="H115" t="s">
        <v>509</v>
      </c>
      <c r="I115" t="s">
        <v>243</v>
      </c>
      <c r="J115" t="str">
        <f t="shared" ref="J115" si="86">IF(I115="SOLES","4.4963","3.388")</f>
        <v>4.4963</v>
      </c>
      <c r="K115" t="s">
        <v>32</v>
      </c>
      <c r="L115" t="s">
        <v>33</v>
      </c>
      <c r="M115" t="s">
        <v>31</v>
      </c>
      <c r="N115" t="s">
        <v>349</v>
      </c>
      <c r="O115" t="s">
        <v>44</v>
      </c>
      <c r="P115" s="3">
        <v>252263.62109999999</v>
      </c>
      <c r="Q115" s="3">
        <v>95711.14</v>
      </c>
      <c r="R115" s="4">
        <v>4.4999999999999998E-2</v>
      </c>
      <c r="S115" s="3">
        <f>+Tabla9[[#This Row],[SAL_PROM_SOL]]</f>
        <v>252263.62109999999</v>
      </c>
      <c r="T115" s="4">
        <v>3.9E-2</v>
      </c>
      <c r="U115" s="4">
        <v>6.0000000000000001E-3</v>
      </c>
      <c r="V115" s="3">
        <v>926.27030000000002</v>
      </c>
      <c r="W115" s="3">
        <v>805.47950000000003</v>
      </c>
      <c r="X115" s="3">
        <v>120.7908</v>
      </c>
      <c r="Y115" s="3">
        <v>36.189399999999999</v>
      </c>
      <c r="Z115" s="3">
        <v>84.601399999999998</v>
      </c>
      <c r="AA115">
        <v>30</v>
      </c>
      <c r="AB115" t="b">
        <f t="shared" si="60"/>
        <v>1</v>
      </c>
      <c r="AC115" s="3">
        <v>1000000</v>
      </c>
      <c r="AD115" t="s">
        <v>46</v>
      </c>
      <c r="AE115" s="8">
        <v>46155.560022106481</v>
      </c>
      <c r="AF115" s="6">
        <f t="shared" ref="AF115" si="87">S115/AC115</f>
        <v>0.2522636211</v>
      </c>
      <c r="AG115" s="6" t="b">
        <f>+Tabla9[[#This Row],[CUMPLIMIENTO]]&lt;100%</f>
        <v>1</v>
      </c>
      <c r="AH115" s="12">
        <f>((( (Tabla9[[#This Row],[FTP_CIERRE_MES]]/100)+1)^(30/360) -1)*(36000/30))/36000</f>
        <v>1.2239493171416853E-4</v>
      </c>
      <c r="AI115" s="3">
        <f>Tabla9[[#This Row],[FTP_DIARIO]]*Tabla9[[#This Row],[SALDO_PROM_CORREGIDO]]*Tabla9[[#This Row],[DIAS]]</f>
        <v>926.27366035510136</v>
      </c>
      <c r="AJ115" s="3">
        <f>Tabla9[[#This Row],[REAL_FTP_MONTO]]-Tabla9[[#This Row],[INT_REAL]]</f>
        <v>120.79416035510133</v>
      </c>
      <c r="AK115" s="3">
        <f>Tabla9[[#This Row],[FTP_DIARIO]]*Tabla9[[#This Row],[COMPROMISO]]*Tabla9[[#This Row],[DIAS]]</f>
        <v>3671.8479514250557</v>
      </c>
      <c r="AL115" s="13">
        <f>((( (Tabla9[[#This Row],[TASA_INT]])+1)^(30/360) -1)*(36000/30))/36000</f>
        <v>1.0644379359607085E-4</v>
      </c>
      <c r="AM115" s="3">
        <f>Tabla9[[#This Row],[TEA DIARIA]]*Tabla9[[#This Row],[SALDO_PROM_CORREGIDO]]*Tabla9[[#This Row],[DIAS]]</f>
        <v>805.55690448497467</v>
      </c>
      <c r="AN115" s="3">
        <f>Tabla9[[#This Row],[TEA DIARIA]]*Tabla9[[#This Row],[COMPROMISO]]*Tabla9[[#This Row],[DIAS]]</f>
        <v>3193.3138078821253</v>
      </c>
      <c r="AO115" s="14">
        <f>+Tabla9[[#This Row],[PROYECTADO_FTP_MONTO]]-Tabla9[[#This Row],[PROYECCION_INTERES]]</f>
        <v>478.53414354293045</v>
      </c>
      <c r="AP115" s="3">
        <f>Tabla9[[#This Row],[PROYECCION_MARGEN(FTP - Int compromiso)]]-Tabla9[[#This Row],[REAL_MARGEN(FTP - Int)]]</f>
        <v>357.73998318782913</v>
      </c>
    </row>
    <row r="116" spans="1:42" x14ac:dyDescent="0.35">
      <c r="A116">
        <v>202604</v>
      </c>
      <c r="B116" s="7">
        <v>46142</v>
      </c>
      <c r="C116">
        <v>8800203</v>
      </c>
      <c r="D116" t="s">
        <v>36</v>
      </c>
      <c r="E116" t="s">
        <v>37</v>
      </c>
      <c r="F116" t="s">
        <v>121</v>
      </c>
      <c r="G116" t="s">
        <v>37</v>
      </c>
      <c r="H116" t="s">
        <v>491</v>
      </c>
      <c r="I116" t="s">
        <v>243</v>
      </c>
      <c r="J116" t="str">
        <f t="shared" ref="J116:J118" si="88">IF(I116="SOLES","4.4963","3.388")</f>
        <v>4.4963</v>
      </c>
      <c r="K116" t="s">
        <v>32</v>
      </c>
      <c r="L116" t="s">
        <v>33</v>
      </c>
      <c r="M116" t="s">
        <v>31</v>
      </c>
      <c r="N116" t="s">
        <v>350</v>
      </c>
      <c r="O116" t="s">
        <v>44</v>
      </c>
      <c r="P116" s="3">
        <v>90077.88</v>
      </c>
      <c r="Q116" s="3">
        <v>157256.67000000001</v>
      </c>
      <c r="R116" s="4">
        <v>4.4999999999999998E-2</v>
      </c>
      <c r="S116" s="3">
        <f>+Tabla9[[#This Row],[SAL_PROM_SOL]]</f>
        <v>90077.88</v>
      </c>
      <c r="T116" s="4">
        <v>0</v>
      </c>
      <c r="U116" s="4">
        <v>4.4999999999999998E-2</v>
      </c>
      <c r="V116" s="3">
        <v>330.7484</v>
      </c>
      <c r="W116" s="3">
        <v>0</v>
      </c>
      <c r="X116" s="3">
        <v>330.7484</v>
      </c>
      <c r="Y116" s="3">
        <v>43.9499</v>
      </c>
      <c r="Z116" s="3">
        <v>286.79849999999999</v>
      </c>
      <c r="AA116">
        <v>30</v>
      </c>
      <c r="AB116" t="b">
        <f t="shared" si="60"/>
        <v>1</v>
      </c>
      <c r="AC116" s="3">
        <v>1000000</v>
      </c>
      <c r="AD116" t="s">
        <v>45</v>
      </c>
      <c r="AE116" s="8">
        <v>46155.560022106481</v>
      </c>
      <c r="AF116" s="6">
        <f t="shared" ref="AF116:AF118" si="89">S116/AC116</f>
        <v>9.0077879999999999E-2</v>
      </c>
      <c r="AG116" s="6" t="b">
        <f>+Tabla9[[#This Row],[CUMPLIMIENTO]]&lt;100%</f>
        <v>1</v>
      </c>
      <c r="AH116" s="12">
        <f>((( (Tabla9[[#This Row],[FTP_CIERRE_MES]]/100)+1)^(30/360) -1)*(36000/30))/36000</f>
        <v>1.2239493171416853E-4</v>
      </c>
      <c r="AI116" s="3">
        <f>Tabla9[[#This Row],[FTP_DIARIO]]*Tabla9[[#This Row],[SALDO_PROM_CORREGIDO]]*Tabla9[[#This Row],[DIAS]]</f>
        <v>330.752279146712</v>
      </c>
      <c r="AJ116" s="3">
        <f>Tabla9[[#This Row],[REAL_FTP_MONTO]]-Tabla9[[#This Row],[INT_REAL]]</f>
        <v>330.752279146712</v>
      </c>
      <c r="AK116" s="3">
        <f>Tabla9[[#This Row],[FTP_DIARIO]]*Tabla9[[#This Row],[COMPROMISO]]*Tabla9[[#This Row],[DIAS]]</f>
        <v>3671.8479514250557</v>
      </c>
      <c r="AL116" s="13">
        <f>((( (Tabla9[[#This Row],[TASA_INT]])+1)^(30/360) -1)*(36000/30))/36000</f>
        <v>0</v>
      </c>
      <c r="AM116" s="3">
        <f>Tabla9[[#This Row],[TEA DIARIA]]*Tabla9[[#This Row],[SALDO_PROM_CORREGIDO]]*Tabla9[[#This Row],[DIAS]]</f>
        <v>0</v>
      </c>
      <c r="AN116" s="3">
        <f>Tabla9[[#This Row],[TEA DIARIA]]*Tabla9[[#This Row],[COMPROMISO]]*Tabla9[[#This Row],[DIAS]]</f>
        <v>0</v>
      </c>
      <c r="AO116" s="14">
        <f>+Tabla9[[#This Row],[PROYECTADO_FTP_MONTO]]-Tabla9[[#This Row],[PROYECCION_INTERES]]</f>
        <v>3671.8479514250557</v>
      </c>
      <c r="AP116" s="3">
        <f>Tabla9[[#This Row],[PROYECCION_MARGEN(FTP - Int compromiso)]]-Tabla9[[#This Row],[REAL_MARGEN(FTP - Int)]]</f>
        <v>3341.095672278344</v>
      </c>
    </row>
    <row r="117" spans="1:42" x14ac:dyDescent="0.35">
      <c r="A117">
        <v>202604</v>
      </c>
      <c r="B117" s="7">
        <v>46142</v>
      </c>
      <c r="C117">
        <v>8800203</v>
      </c>
      <c r="D117" t="s">
        <v>36</v>
      </c>
      <c r="E117" t="s">
        <v>37</v>
      </c>
      <c r="F117" t="s">
        <v>121</v>
      </c>
      <c r="G117" t="s">
        <v>37</v>
      </c>
      <c r="H117" t="s">
        <v>491</v>
      </c>
      <c r="I117" t="s">
        <v>244</v>
      </c>
      <c r="J117" t="str">
        <f t="shared" si="88"/>
        <v>3.388</v>
      </c>
      <c r="K117" t="s">
        <v>32</v>
      </c>
      <c r="L117" t="s">
        <v>33</v>
      </c>
      <c r="M117" t="s">
        <v>34</v>
      </c>
      <c r="N117" t="s">
        <v>351</v>
      </c>
      <c r="O117" t="s">
        <v>44</v>
      </c>
      <c r="P117" s="3">
        <v>38333.570099999997</v>
      </c>
      <c r="Q117" s="3">
        <v>39104.784399999997</v>
      </c>
      <c r="R117" s="4">
        <v>3.39E-2</v>
      </c>
      <c r="S117" s="3">
        <f>+Tabla9[[#This Row],[SAL_PROM_SOL]]</f>
        <v>38333.570099999997</v>
      </c>
      <c r="T117" s="4">
        <v>0</v>
      </c>
      <c r="U117" s="4">
        <v>3.39E-2</v>
      </c>
      <c r="V117" s="3">
        <v>106.59529999999999</v>
      </c>
      <c r="W117" s="3">
        <v>0</v>
      </c>
      <c r="X117" s="3">
        <v>106.59529999999999</v>
      </c>
      <c r="Y117" s="3">
        <v>0</v>
      </c>
      <c r="Z117" s="3">
        <v>106.59529999999999</v>
      </c>
      <c r="AA117">
        <v>30</v>
      </c>
      <c r="AB117" t="b">
        <f t="shared" si="60"/>
        <v>1</v>
      </c>
      <c r="AC117" s="3">
        <v>296000</v>
      </c>
      <c r="AD117" t="s">
        <v>45</v>
      </c>
      <c r="AE117" s="8">
        <v>46155.560022106481</v>
      </c>
      <c r="AF117" s="6">
        <f t="shared" si="89"/>
        <v>0.1295053043918919</v>
      </c>
      <c r="AG117" s="6" t="b">
        <f>+Tabla9[[#This Row],[CUMPLIMIENTO]]&lt;100%</f>
        <v>1</v>
      </c>
      <c r="AH117" s="12">
        <f>((( (Tabla9[[#This Row],[FTP_CIERRE_MES]]/100)+1)^(30/360) -1)*(36000/30))/36000</f>
        <v>9.2680593701059222E-5</v>
      </c>
      <c r="AI117" s="3">
        <f>Tabla9[[#This Row],[FTP_DIARIO]]*Tabla9[[#This Row],[SALDO_PROM_CORREGIDO]]*Tabla9[[#This Row],[DIAS]]</f>
        <v>106.58334106647516</v>
      </c>
      <c r="AJ117" s="3">
        <f>Tabla9[[#This Row],[REAL_FTP_MONTO]]-Tabla9[[#This Row],[INT_REAL]]</f>
        <v>106.58334106647516</v>
      </c>
      <c r="AK117" s="3">
        <f>Tabla9[[#This Row],[FTP_DIARIO]]*Tabla9[[#This Row],[COMPROMISO]]*Tabla9[[#This Row],[DIAS]]</f>
        <v>823.00367206540591</v>
      </c>
      <c r="AL117" s="13">
        <f>((( (Tabla9[[#This Row],[TASA_INT]])+1)^(30/360) -1)*(36000/30))/36000</f>
        <v>0</v>
      </c>
      <c r="AM117" s="3">
        <f>Tabla9[[#This Row],[TEA DIARIA]]*Tabla9[[#This Row],[SALDO_PROM_CORREGIDO]]*Tabla9[[#This Row],[DIAS]]</f>
        <v>0</v>
      </c>
      <c r="AN117" s="3">
        <f>Tabla9[[#This Row],[TEA DIARIA]]*Tabla9[[#This Row],[COMPROMISO]]*Tabla9[[#This Row],[DIAS]]</f>
        <v>0</v>
      </c>
      <c r="AO117" s="14">
        <f>+Tabla9[[#This Row],[PROYECTADO_FTP_MONTO]]-Tabla9[[#This Row],[PROYECCION_INTERES]]</f>
        <v>823.00367206540591</v>
      </c>
      <c r="AP117" s="3">
        <f>Tabla9[[#This Row],[PROYECCION_MARGEN(FTP - Int compromiso)]]-Tabla9[[#This Row],[REAL_MARGEN(FTP - Int)]]</f>
        <v>716.42033099893069</v>
      </c>
    </row>
    <row r="118" spans="1:42" x14ac:dyDescent="0.35">
      <c r="A118">
        <v>202604</v>
      </c>
      <c r="B118" s="7">
        <v>46142</v>
      </c>
      <c r="C118">
        <v>8800347</v>
      </c>
      <c r="D118" t="s">
        <v>29</v>
      </c>
      <c r="E118" t="s">
        <v>35</v>
      </c>
      <c r="F118" t="s">
        <v>122</v>
      </c>
      <c r="G118" t="s">
        <v>35</v>
      </c>
      <c r="H118" t="s">
        <v>510</v>
      </c>
      <c r="I118" t="s">
        <v>244</v>
      </c>
      <c r="J118" t="str">
        <f t="shared" si="88"/>
        <v>3.388</v>
      </c>
      <c r="K118" t="s">
        <v>32</v>
      </c>
      <c r="L118" t="s">
        <v>33</v>
      </c>
      <c r="M118" t="s">
        <v>34</v>
      </c>
      <c r="N118" t="s">
        <v>258</v>
      </c>
      <c r="O118" t="s">
        <v>44</v>
      </c>
      <c r="P118" s="3">
        <v>1948306.5231999999</v>
      </c>
      <c r="Q118" s="3">
        <v>4241404.8956000004</v>
      </c>
      <c r="R118" s="4">
        <v>3.39E-2</v>
      </c>
      <c r="S118" s="3">
        <f>+Tabla9[[#This Row],[SAL_PROM_SOL]]</f>
        <v>1948306.5231999999</v>
      </c>
      <c r="T118" s="4">
        <v>2.5000000000000001E-3</v>
      </c>
      <c r="U118" s="4">
        <v>3.1399999999999997E-2</v>
      </c>
      <c r="V118" s="3">
        <v>5417.1129000000001</v>
      </c>
      <c r="W118" s="3">
        <v>401.24720000000002</v>
      </c>
      <c r="X118" s="3">
        <v>5015.8657000000003</v>
      </c>
      <c r="Y118" s="3">
        <v>26.752099999999999</v>
      </c>
      <c r="Z118" s="3">
        <v>4989.1135999999997</v>
      </c>
      <c r="AA118">
        <v>28</v>
      </c>
      <c r="AB118" t="b">
        <f t="shared" si="60"/>
        <v>0</v>
      </c>
      <c r="AC118" s="3">
        <v>1200000</v>
      </c>
      <c r="AD118" t="s">
        <v>45</v>
      </c>
      <c r="AE118" s="8">
        <v>46155.560022106481</v>
      </c>
      <c r="AF118" s="6">
        <f t="shared" si="89"/>
        <v>1.6235887693333333</v>
      </c>
      <c r="AG118" s="6" t="b">
        <f>+Tabla9[[#This Row],[CUMPLIMIENTO]]&lt;100%</f>
        <v>0</v>
      </c>
      <c r="AH118" s="12">
        <f>((( (Tabla9[[#This Row],[FTP_CIERRE_MES]]/100)+1)^(30/360) -1)*(36000/30))/36000</f>
        <v>9.2680593701059222E-5</v>
      </c>
      <c r="AI118" s="3">
        <f>Tabla9[[#This Row],[FTP_DIARIO]]*Tabla9[[#This Row],[SALDO_PROM_CORREGIDO]]*Tabla9[[#This Row],[DIAS]]</f>
        <v>5055.9657478910303</v>
      </c>
      <c r="AJ118" s="3">
        <f>Tabla9[[#This Row],[REAL_FTP_MONTO]]-Tabla9[[#This Row],[INT_REAL]]</f>
        <v>4654.7185478910305</v>
      </c>
      <c r="AK118" s="3">
        <f>Tabla9[[#This Row],[FTP_DIARIO]]*Tabla9[[#This Row],[COMPROMISO]]*Tabla9[[#This Row],[DIAS]]</f>
        <v>3114.06794835559</v>
      </c>
      <c r="AL118" s="13">
        <f>((( (Tabla9[[#This Row],[TASA_INT]])+1)^(30/360) -1)*(36000/30))/36000</f>
        <v>6.9364999547720053E-6</v>
      </c>
      <c r="AM118" s="3">
        <f>Tabla9[[#This Row],[TEA DIARIA]]*Tabla9[[#This Row],[SALDO_PROM_CORREGIDO]]*Tabla9[[#This Row],[DIAS]]</f>
        <v>378.40398708164645</v>
      </c>
      <c r="AN118" s="3">
        <f>Tabla9[[#This Row],[TEA DIARIA]]*Tabla9[[#This Row],[COMPROMISO]]*Tabla9[[#This Row],[DIAS]]</f>
        <v>233.06639848033939</v>
      </c>
      <c r="AO118" s="14">
        <f>+Tabla9[[#This Row],[PROYECTADO_FTP_MONTO]]-Tabla9[[#This Row],[PROYECCION_INTERES]]</f>
        <v>2881.0015498752505</v>
      </c>
      <c r="AP118" s="3">
        <f>Tabla9[[#This Row],[PROYECCION_MARGEN(FTP - Int compromiso)]]-Tabla9[[#This Row],[REAL_MARGEN(FTP - Int)]]</f>
        <v>-1773.7169980157801</v>
      </c>
    </row>
    <row r="119" spans="1:42" x14ac:dyDescent="0.35">
      <c r="A119">
        <v>202604</v>
      </c>
      <c r="B119" s="7">
        <v>46142</v>
      </c>
      <c r="C119">
        <v>8844077</v>
      </c>
      <c r="D119" t="s">
        <v>36</v>
      </c>
      <c r="E119" t="s">
        <v>37</v>
      </c>
      <c r="F119" t="s">
        <v>123</v>
      </c>
      <c r="G119" t="s">
        <v>37</v>
      </c>
      <c r="H119" t="s">
        <v>511</v>
      </c>
      <c r="I119" t="s">
        <v>243</v>
      </c>
      <c r="J119" t="str">
        <f t="shared" ref="J119" si="90">IF(I119="SOLES","4.4963","3.388")</f>
        <v>4.4963</v>
      </c>
      <c r="K119" t="s">
        <v>32</v>
      </c>
      <c r="L119" t="s">
        <v>33</v>
      </c>
      <c r="M119" t="s">
        <v>31</v>
      </c>
      <c r="N119" t="s">
        <v>352</v>
      </c>
      <c r="O119" t="s">
        <v>44</v>
      </c>
      <c r="P119" s="3">
        <v>4640203.0999999996</v>
      </c>
      <c r="Q119" s="3">
        <v>80801.06</v>
      </c>
      <c r="R119" s="4">
        <v>4.4999999999999998E-2</v>
      </c>
      <c r="S119" s="3">
        <f>+Tabla9[[#This Row],[SAL_PROM_SOL]]</f>
        <v>4640203.0999999996</v>
      </c>
      <c r="T119" s="4">
        <v>1.7999999999999999E-2</v>
      </c>
      <c r="U119" s="4">
        <v>2.7E-2</v>
      </c>
      <c r="V119" s="3">
        <v>17038.119299999998</v>
      </c>
      <c r="W119" s="3">
        <v>6918.8496999999998</v>
      </c>
      <c r="X119" s="3">
        <v>10119.2696</v>
      </c>
      <c r="Y119" s="3">
        <v>32.890999999999998</v>
      </c>
      <c r="Z119" s="3">
        <v>10086.3786</v>
      </c>
      <c r="AA119">
        <v>30</v>
      </c>
      <c r="AB119" t="b">
        <f t="shared" si="60"/>
        <v>1</v>
      </c>
      <c r="AC119" s="3">
        <v>5000000</v>
      </c>
      <c r="AD119" t="s">
        <v>45</v>
      </c>
      <c r="AE119" s="8">
        <v>46155.560022106481</v>
      </c>
      <c r="AF119" s="6">
        <f t="shared" ref="AF119" si="91">S119/AC119</f>
        <v>0.92804061999999987</v>
      </c>
      <c r="AG119" s="6" t="b">
        <f>+Tabla9[[#This Row],[CUMPLIMIENTO]]&lt;100%</f>
        <v>1</v>
      </c>
      <c r="AH119" s="12">
        <f>((( (Tabla9[[#This Row],[FTP_CIERRE_MES]]/100)+1)^(30/360) -1)*(36000/30))/36000</f>
        <v>1.2239493171416853E-4</v>
      </c>
      <c r="AI119" s="3">
        <f>Tabla9[[#This Row],[FTP_DIARIO]]*Tabla9[[#This Row],[SALDO_PROM_CORREGIDO]]*Tabla9[[#This Row],[DIAS]]</f>
        <v>17038.12024693119</v>
      </c>
      <c r="AJ119" s="3">
        <f>Tabla9[[#This Row],[REAL_FTP_MONTO]]-Tabla9[[#This Row],[INT_REAL]]</f>
        <v>10119.270546931191</v>
      </c>
      <c r="AK119" s="3">
        <f>Tabla9[[#This Row],[FTP_DIARIO]]*Tabla9[[#This Row],[COMPROMISO]]*Tabla9[[#This Row],[DIAS]]</f>
        <v>18359.23975712528</v>
      </c>
      <c r="AL119" s="13">
        <f>((( (Tabla9[[#This Row],[TASA_INT]])+1)^(30/360) -1)*(36000/30))/36000</f>
        <v>4.9592182353415858E-5</v>
      </c>
      <c r="AM119" s="3">
        <f>Tabla9[[#This Row],[TEA DIARIA]]*Tabla9[[#This Row],[SALDO_PROM_CORREGIDO]]*Tabla9[[#This Row],[DIAS]]</f>
        <v>6903.533948762567</v>
      </c>
      <c r="AN119" s="3">
        <f>Tabla9[[#This Row],[TEA DIARIA]]*Tabla9[[#This Row],[COMPROMISO]]*Tabla9[[#This Row],[DIAS]]</f>
        <v>7438.8273530123788</v>
      </c>
      <c r="AO119" s="14">
        <f>+Tabla9[[#This Row],[PROYECTADO_FTP_MONTO]]-Tabla9[[#This Row],[PROYECCION_INTERES]]</f>
        <v>10920.412404112902</v>
      </c>
      <c r="AP119" s="3">
        <f>Tabla9[[#This Row],[PROYECCION_MARGEN(FTP - Int compromiso)]]-Tabla9[[#This Row],[REAL_MARGEN(FTP - Int)]]</f>
        <v>801.14185718171029</v>
      </c>
    </row>
    <row r="120" spans="1:42" x14ac:dyDescent="0.35">
      <c r="A120">
        <v>202604</v>
      </c>
      <c r="B120" s="7">
        <v>46142</v>
      </c>
      <c r="C120">
        <v>8890398</v>
      </c>
      <c r="D120" t="s">
        <v>36</v>
      </c>
      <c r="E120" t="s">
        <v>38</v>
      </c>
      <c r="F120" t="s">
        <v>124</v>
      </c>
      <c r="G120" t="s">
        <v>38</v>
      </c>
      <c r="H120" t="s">
        <v>501</v>
      </c>
      <c r="I120" t="s">
        <v>244</v>
      </c>
      <c r="J120" t="str">
        <f t="shared" ref="J120" si="92">IF(I120="SOLES","4.4963","3.388")</f>
        <v>3.388</v>
      </c>
      <c r="K120" t="s">
        <v>32</v>
      </c>
      <c r="L120" t="s">
        <v>33</v>
      </c>
      <c r="M120" t="s">
        <v>34</v>
      </c>
      <c r="N120" t="s">
        <v>353</v>
      </c>
      <c r="O120" t="s">
        <v>44</v>
      </c>
      <c r="P120" s="3">
        <v>101490.79150000001</v>
      </c>
      <c r="Q120" s="3">
        <v>162863.0203</v>
      </c>
      <c r="R120" s="4">
        <v>3.39E-2</v>
      </c>
      <c r="S120" s="3">
        <f>+Tabla9[[#This Row],[SAL_PROM_SOL]]</f>
        <v>101490.79150000001</v>
      </c>
      <c r="T120" s="4">
        <v>3.1E-2</v>
      </c>
      <c r="U120" s="4">
        <v>2.8999999999999998E-3</v>
      </c>
      <c r="V120" s="3">
        <v>282.18830000000003</v>
      </c>
      <c r="W120" s="3">
        <v>258.50040000000001</v>
      </c>
      <c r="X120" s="3">
        <v>23.687899999999999</v>
      </c>
      <c r="Y120" s="3">
        <v>43.037500000000001</v>
      </c>
      <c r="Z120" s="3">
        <v>-19.349599999999999</v>
      </c>
      <c r="AA120">
        <v>30</v>
      </c>
      <c r="AB120" t="b">
        <f t="shared" si="60"/>
        <v>1</v>
      </c>
      <c r="AC120" s="3">
        <v>1000000</v>
      </c>
      <c r="AD120" t="s">
        <v>46</v>
      </c>
      <c r="AE120" s="8">
        <v>46155.560022106481</v>
      </c>
      <c r="AF120" s="6">
        <f t="shared" ref="AF120" si="93">S120/AC120</f>
        <v>0.10149079150000001</v>
      </c>
      <c r="AG120" s="6" t="b">
        <f>+Tabla9[[#This Row],[CUMPLIMIENTO]]&lt;100%</f>
        <v>1</v>
      </c>
      <c r="AH120" s="12">
        <f>((( (Tabla9[[#This Row],[FTP_CIERRE_MES]]/100)+1)^(30/360) -1)*(36000/30))/36000</f>
        <v>9.2680593701059222E-5</v>
      </c>
      <c r="AI120" s="3">
        <f>Tabla9[[#This Row],[FTP_DIARIO]]*Tabla9[[#This Row],[SALDO_PROM_CORREGIDO]]*Tabla9[[#This Row],[DIAS]]</f>
        <v>282.18680434231243</v>
      </c>
      <c r="AJ120" s="3">
        <f>Tabla9[[#This Row],[REAL_FTP_MONTO]]-Tabla9[[#This Row],[INT_REAL]]</f>
        <v>23.686404342312414</v>
      </c>
      <c r="AK120" s="3">
        <f>Tabla9[[#This Row],[FTP_DIARIO]]*Tabla9[[#This Row],[COMPROMISO]]*Tabla9[[#This Row],[DIAS]]</f>
        <v>2780.4178110317766</v>
      </c>
      <c r="AL120" s="13">
        <f>((( (Tabla9[[#This Row],[TASA_INT]])+1)^(30/360) -1)*(36000/30))/36000</f>
        <v>8.4911312973775152E-5</v>
      </c>
      <c r="AM120" s="3">
        <f>Tabla9[[#This Row],[TEA DIARIA]]*Tabla9[[#This Row],[SALDO_PROM_CORREGIDO]]*Tabla9[[#This Row],[DIAS]]</f>
        <v>258.53149083037977</v>
      </c>
      <c r="AN120" s="3">
        <f>Tabla9[[#This Row],[TEA DIARIA]]*Tabla9[[#This Row],[COMPROMISO]]*Tabla9[[#This Row],[DIAS]]</f>
        <v>2547.3393892132544</v>
      </c>
      <c r="AO120" s="14">
        <f>+Tabla9[[#This Row],[PROYECTADO_FTP_MONTO]]-Tabla9[[#This Row],[PROYECCION_INTERES]]</f>
        <v>233.0784218185222</v>
      </c>
      <c r="AP120" s="3">
        <f>Tabla9[[#This Row],[PROYECCION_MARGEN(FTP - Int compromiso)]]-Tabla9[[#This Row],[REAL_MARGEN(FTP - Int)]]</f>
        <v>209.39201747620979</v>
      </c>
    </row>
    <row r="121" spans="1:42" x14ac:dyDescent="0.35">
      <c r="A121">
        <v>202604</v>
      </c>
      <c r="B121" s="7">
        <v>46142</v>
      </c>
      <c r="C121">
        <v>8922073</v>
      </c>
      <c r="D121" t="s">
        <v>36</v>
      </c>
      <c r="E121" t="s">
        <v>37</v>
      </c>
      <c r="F121" t="s">
        <v>125</v>
      </c>
      <c r="G121" t="s">
        <v>37</v>
      </c>
      <c r="H121" t="s">
        <v>498</v>
      </c>
      <c r="I121" t="s">
        <v>243</v>
      </c>
      <c r="J121" t="str">
        <f t="shared" ref="J121" si="94">IF(I121="SOLES","4.4963","3.388")</f>
        <v>4.4963</v>
      </c>
      <c r="K121" t="s">
        <v>32</v>
      </c>
      <c r="L121" t="s">
        <v>33</v>
      </c>
      <c r="M121" t="s">
        <v>31</v>
      </c>
      <c r="N121" t="s">
        <v>354</v>
      </c>
      <c r="O121" t="s">
        <v>44</v>
      </c>
      <c r="P121" s="3">
        <v>421347.58140000002</v>
      </c>
      <c r="Q121" s="3">
        <v>288168.27</v>
      </c>
      <c r="R121" s="4">
        <v>4.4999999999999998E-2</v>
      </c>
      <c r="S121" s="3">
        <f>+Tabla9[[#This Row],[SAL_PROM_SOL]]</f>
        <v>421347.58140000002</v>
      </c>
      <c r="T121" s="4">
        <v>1.0699999999999999E-2</v>
      </c>
      <c r="U121" s="4">
        <v>3.4299999999999997E-2</v>
      </c>
      <c r="V121" s="3">
        <v>1547.1188999999999</v>
      </c>
      <c r="W121" s="3">
        <v>372.8494</v>
      </c>
      <c r="X121" s="3">
        <v>1174.2695000000001</v>
      </c>
      <c r="Y121" s="3">
        <v>43.9499</v>
      </c>
      <c r="Z121" s="3">
        <v>1130.3196</v>
      </c>
      <c r="AA121">
        <v>30</v>
      </c>
      <c r="AB121" t="b">
        <f t="shared" si="60"/>
        <v>1</v>
      </c>
      <c r="AC121" s="3">
        <v>15000000</v>
      </c>
      <c r="AD121" t="s">
        <v>46</v>
      </c>
      <c r="AE121" s="8">
        <v>46155.560022106481</v>
      </c>
      <c r="AF121" s="6">
        <f t="shared" ref="AF121" si="95">S121/AC121</f>
        <v>2.8089838760000003E-2</v>
      </c>
      <c r="AG121" s="6" t="b">
        <f>+Tabla9[[#This Row],[CUMPLIMIENTO]]&lt;100%</f>
        <v>1</v>
      </c>
      <c r="AH121" s="12">
        <f>((( (Tabla9[[#This Row],[FTP_CIERRE_MES]]/100)+1)^(30/360) -1)*(36000/30))/36000</f>
        <v>1.2239493171416853E-4</v>
      </c>
      <c r="AI121" s="3">
        <f>Tabla9[[#This Row],[FTP_DIARIO]]*Tabla9[[#This Row],[SALDO_PROM_CORREGIDO]]*Tabla9[[#This Row],[DIAS]]</f>
        <v>1547.124253601492</v>
      </c>
      <c r="AJ121" s="3">
        <f>Tabla9[[#This Row],[REAL_FTP_MONTO]]-Tabla9[[#This Row],[INT_REAL]]</f>
        <v>1174.2748536014919</v>
      </c>
      <c r="AK121" s="3">
        <f>Tabla9[[#This Row],[FTP_DIARIO]]*Tabla9[[#This Row],[COMPROMISO]]*Tabla9[[#This Row],[DIAS]]</f>
        <v>55077.719271375834</v>
      </c>
      <c r="AL121" s="13">
        <f>((( (Tabla9[[#This Row],[TASA_INT]])+1)^(30/360) -1)*(36000/30))/36000</f>
        <v>2.957744823117725E-5</v>
      </c>
      <c r="AM121" s="3">
        <f>Tabla9[[#This Row],[TEA DIARIA]]*Tabla9[[#This Row],[SALDO_PROM_CORREGIDO]]*Tabla9[[#This Row],[DIAS]]</f>
        <v>373.87158828570728</v>
      </c>
      <c r="AN121" s="3">
        <f>Tabla9[[#This Row],[TEA DIARIA]]*Tabla9[[#This Row],[COMPROMISO]]*Tabla9[[#This Row],[DIAS]]</f>
        <v>13309.851704029763</v>
      </c>
      <c r="AO121" s="14">
        <f>+Tabla9[[#This Row],[PROYECTADO_FTP_MONTO]]-Tabla9[[#This Row],[PROYECCION_INTERES]]</f>
        <v>41767.867567346068</v>
      </c>
      <c r="AP121" s="3">
        <f>Tabla9[[#This Row],[PROYECCION_MARGEN(FTP - Int compromiso)]]-Tabla9[[#This Row],[REAL_MARGEN(FTP - Int)]]</f>
        <v>40593.592713744576</v>
      </c>
    </row>
    <row r="122" spans="1:42" x14ac:dyDescent="0.35">
      <c r="A122">
        <v>202604</v>
      </c>
      <c r="B122" s="7">
        <v>46142</v>
      </c>
      <c r="C122">
        <v>9061822</v>
      </c>
      <c r="D122" t="s">
        <v>42</v>
      </c>
      <c r="E122" t="s">
        <v>48</v>
      </c>
      <c r="F122" t="s">
        <v>126</v>
      </c>
      <c r="G122" t="s">
        <v>48</v>
      </c>
      <c r="H122" t="s">
        <v>495</v>
      </c>
      <c r="I122" t="s">
        <v>243</v>
      </c>
      <c r="J122" t="str">
        <f t="shared" ref="J122" si="96">IF(I122="SOLES","4.4963","3.388")</f>
        <v>4.4963</v>
      </c>
      <c r="K122" t="s">
        <v>32</v>
      </c>
      <c r="L122" t="s">
        <v>41</v>
      </c>
      <c r="M122" t="s">
        <v>31</v>
      </c>
      <c r="N122" t="s">
        <v>355</v>
      </c>
      <c r="O122" t="s">
        <v>44</v>
      </c>
      <c r="P122" s="3">
        <v>2244051.2508</v>
      </c>
      <c r="Q122" s="3">
        <v>2182276.4700000002</v>
      </c>
      <c r="R122" s="4">
        <v>4.4999999999999998E-2</v>
      </c>
      <c r="S122" s="3">
        <f>+Tabla9[[#This Row],[SAL_PROM_SOL]]</f>
        <v>2244051.2508</v>
      </c>
      <c r="T122" s="4">
        <v>1.2E-2</v>
      </c>
      <c r="U122" s="4">
        <v>3.3000000000000002E-2</v>
      </c>
      <c r="V122" s="3">
        <v>8239.8117000000002</v>
      </c>
      <c r="W122" s="3">
        <v>2239.0414000000001</v>
      </c>
      <c r="X122" s="3">
        <v>6000.7703000000001</v>
      </c>
      <c r="Y122" s="3">
        <v>43.9499</v>
      </c>
      <c r="Z122" s="3">
        <v>5956.8203999999996</v>
      </c>
      <c r="AA122">
        <v>30</v>
      </c>
      <c r="AB122" t="b">
        <f t="shared" si="60"/>
        <v>1</v>
      </c>
      <c r="AC122" s="3">
        <v>500000</v>
      </c>
      <c r="AD122" t="s">
        <v>45</v>
      </c>
      <c r="AE122" s="8">
        <v>46155.560022106481</v>
      </c>
      <c r="AF122" s="6">
        <f t="shared" ref="AF122" si="97">S122/AC122</f>
        <v>4.4881025016000002</v>
      </c>
      <c r="AG122" s="6" t="b">
        <f>+Tabla9[[#This Row],[CUMPLIMIENTO]]&lt;100%</f>
        <v>0</v>
      </c>
      <c r="AH122" s="12">
        <f>((( (Tabla9[[#This Row],[FTP_CIERRE_MES]]/100)+1)^(30/360) -1)*(36000/30))/36000</f>
        <v>1.2239493171416853E-4</v>
      </c>
      <c r="AI122" s="3">
        <f>Tabla9[[#This Row],[FTP_DIARIO]]*Tabla9[[#This Row],[SALDO_PROM_CORREGIDO]]*Tabla9[[#This Row],[DIAS]]</f>
        <v>8239.8149881428126</v>
      </c>
      <c r="AJ122" s="3">
        <f>Tabla9[[#This Row],[REAL_FTP_MONTO]]-Tabla9[[#This Row],[INT_REAL]]</f>
        <v>6000.7735881428125</v>
      </c>
      <c r="AK122" s="3">
        <f>Tabla9[[#This Row],[FTP_DIARIO]]*Tabla9[[#This Row],[COMPROMISO]]*Tabla9[[#This Row],[DIAS]]</f>
        <v>1835.9239757125279</v>
      </c>
      <c r="AL122" s="13">
        <f>((( (Tabla9[[#This Row],[TASA_INT]])+1)^(30/360) -1)*(36000/30))/36000</f>
        <v>3.3151393371425956E-5</v>
      </c>
      <c r="AM122" s="3">
        <f>Tabla9[[#This Row],[TEA DIARIA]]*Tabla9[[#This Row],[SALDO_PROM_CORREGIDO]]*Tabla9[[#This Row],[DIAS]]</f>
        <v>2231.8027728273373</v>
      </c>
      <c r="AN122" s="3">
        <f>Tabla9[[#This Row],[TEA DIARIA]]*Tabla9[[#This Row],[COMPROMISO]]*Tabla9[[#This Row],[DIAS]]</f>
        <v>497.27090057138929</v>
      </c>
      <c r="AO122" s="14">
        <f>+Tabla9[[#This Row],[PROYECTADO_FTP_MONTO]]-Tabla9[[#This Row],[PROYECCION_INTERES]]</f>
        <v>1338.6530751411385</v>
      </c>
      <c r="AP122" s="3">
        <f>Tabla9[[#This Row],[PROYECCION_MARGEN(FTP - Int compromiso)]]-Tabla9[[#This Row],[REAL_MARGEN(FTP - Int)]]</f>
        <v>-4662.1205130016742</v>
      </c>
    </row>
    <row r="123" spans="1:42" x14ac:dyDescent="0.35">
      <c r="A123">
        <v>202604</v>
      </c>
      <c r="B123" s="7">
        <v>46142</v>
      </c>
      <c r="C123">
        <v>9169331</v>
      </c>
      <c r="D123" t="s">
        <v>36</v>
      </c>
      <c r="E123" t="s">
        <v>37</v>
      </c>
      <c r="F123" t="s">
        <v>127</v>
      </c>
      <c r="G123" t="s">
        <v>37</v>
      </c>
      <c r="H123" t="s">
        <v>498</v>
      </c>
      <c r="I123" t="s">
        <v>243</v>
      </c>
      <c r="J123" t="str">
        <f t="shared" ref="J123:J125" si="98">IF(I123="SOLES","4.4963","3.388")</f>
        <v>4.4963</v>
      </c>
      <c r="K123" t="s">
        <v>32</v>
      </c>
      <c r="L123" t="s">
        <v>33</v>
      </c>
      <c r="M123" t="s">
        <v>31</v>
      </c>
      <c r="N123" t="s">
        <v>356</v>
      </c>
      <c r="O123" t="s">
        <v>44</v>
      </c>
      <c r="P123" s="3">
        <v>105702951.2516</v>
      </c>
      <c r="Q123" s="3">
        <v>91499777.109999999</v>
      </c>
      <c r="R123" s="4">
        <v>4.4999999999999998E-2</v>
      </c>
      <c r="S123" s="3">
        <f>+Tabla9[[#This Row],[SAL_PROM_SOL]]</f>
        <v>105702951.2516</v>
      </c>
      <c r="T123" s="4">
        <v>4.2500000000000003E-2</v>
      </c>
      <c r="U123" s="4">
        <v>2.5000000000000001E-3</v>
      </c>
      <c r="V123" s="3">
        <v>388125.16889999999</v>
      </c>
      <c r="W123" s="3">
        <v>367322.84869999997</v>
      </c>
      <c r="X123" s="3">
        <v>20802.320199999998</v>
      </c>
      <c r="Y123" s="3">
        <v>0</v>
      </c>
      <c r="Z123" s="3">
        <v>20802.320199999998</v>
      </c>
      <c r="AA123">
        <v>30</v>
      </c>
      <c r="AB123" t="b">
        <f t="shared" si="60"/>
        <v>1</v>
      </c>
      <c r="AC123" s="3">
        <v>70000000</v>
      </c>
      <c r="AD123" t="s">
        <v>46</v>
      </c>
      <c r="AE123" s="8">
        <v>46155.560022106481</v>
      </c>
      <c r="AF123" s="6">
        <f t="shared" ref="AF123" si="99">S123/AC123</f>
        <v>1.5100421607371428</v>
      </c>
      <c r="AG123" s="6" t="b">
        <f>+Tabla9[[#This Row],[CUMPLIMIENTO]]&lt;100%</f>
        <v>0</v>
      </c>
      <c r="AH123" s="12">
        <f>((( (Tabla9[[#This Row],[FTP_CIERRE_MES]]/100)+1)^(30/360) -1)*(36000/30))/36000</f>
        <v>1.2239493171416853E-4</v>
      </c>
      <c r="AI123" s="3">
        <f>Tabla9[[#This Row],[FTP_DIARIO]]*Tabla9[[#This Row],[SALDO_PROM_CORREGIDO]]*Tabla9[[#This Row],[DIAS]]</f>
        <v>388125.16501276998</v>
      </c>
      <c r="AJ123" s="3">
        <f>Tabla9[[#This Row],[REAL_FTP_MONTO]]-Tabla9[[#This Row],[INT_REAL]]</f>
        <v>20802.31631277001</v>
      </c>
      <c r="AK123" s="3">
        <f>Tabla9[[#This Row],[FTP_DIARIO]]*Tabla9[[#This Row],[COMPROMISO]]*Tabla9[[#This Row],[DIAS]]</f>
        <v>257029.3565997539</v>
      </c>
      <c r="AL123" s="13">
        <f>((( (Tabla9[[#This Row],[TASA_INT]])+1)^(30/360) -1)*(36000/30))/36000</f>
        <v>1.158165001165834E-4</v>
      </c>
      <c r="AM123" s="3">
        <f>Tabla9[[#This Row],[TEA DIARIA]]*Tabla9[[#This Row],[SALDO_PROM_CORREGIDO]]*Tabla9[[#This Row],[DIAS]]</f>
        <v>367264.37597862422</v>
      </c>
      <c r="AN123" s="3">
        <f>Tabla9[[#This Row],[TEA DIARIA]]*Tabla9[[#This Row],[COMPROMISO]]*Tabla9[[#This Row],[DIAS]]</f>
        <v>243214.65024482514</v>
      </c>
      <c r="AO123" s="14">
        <f>+Tabla9[[#This Row],[PROYECTADO_FTP_MONTO]]-Tabla9[[#This Row],[PROYECCION_INTERES]]</f>
        <v>13814.706354928756</v>
      </c>
      <c r="AP123" s="3">
        <f>Tabla9[[#This Row],[PROYECCION_MARGEN(FTP - Int compromiso)]]-Tabla9[[#This Row],[REAL_MARGEN(FTP - Int)]]</f>
        <v>-6987.6099578412541</v>
      </c>
    </row>
    <row r="124" spans="1:42" x14ac:dyDescent="0.35">
      <c r="A124">
        <v>202604</v>
      </c>
      <c r="B124" s="7">
        <v>46142</v>
      </c>
      <c r="C124">
        <v>9174758</v>
      </c>
      <c r="D124" t="s">
        <v>36</v>
      </c>
      <c r="E124" t="s">
        <v>37</v>
      </c>
      <c r="F124" t="s">
        <v>128</v>
      </c>
      <c r="G124" t="s">
        <v>37</v>
      </c>
      <c r="H124" t="s">
        <v>491</v>
      </c>
      <c r="I124" t="s">
        <v>243</v>
      </c>
      <c r="J124" t="str">
        <f t="shared" si="98"/>
        <v>4.4963</v>
      </c>
      <c r="K124" t="s">
        <v>32</v>
      </c>
      <c r="L124" t="s">
        <v>33</v>
      </c>
      <c r="M124" t="s">
        <v>31</v>
      </c>
      <c r="N124" t="s">
        <v>357</v>
      </c>
      <c r="O124" t="s">
        <v>44</v>
      </c>
      <c r="P124" s="3">
        <v>525855.96959999995</v>
      </c>
      <c r="Q124" s="3">
        <v>334637.3</v>
      </c>
      <c r="R124" s="4">
        <v>4.4999999999999998E-2</v>
      </c>
      <c r="S124" s="3">
        <f>+Tabla9[[#This Row],[SAL_PROM_SOL]]</f>
        <v>525855.96959999995</v>
      </c>
      <c r="T124" s="4">
        <v>6.0000000000000001E-3</v>
      </c>
      <c r="U124" s="4">
        <v>3.9E-2</v>
      </c>
      <c r="V124" s="3">
        <v>1930.8585</v>
      </c>
      <c r="W124" s="3">
        <v>263.77170000000001</v>
      </c>
      <c r="X124" s="3">
        <v>1667.0868</v>
      </c>
      <c r="Y124" s="3">
        <v>43.9499</v>
      </c>
      <c r="Z124" s="3">
        <v>1623.1369</v>
      </c>
      <c r="AA124">
        <v>30</v>
      </c>
      <c r="AB124" t="b">
        <f t="shared" ref="AB124:AB153" si="100">+AA124=30</f>
        <v>1</v>
      </c>
      <c r="AC124" s="3">
        <v>1000000</v>
      </c>
      <c r="AD124" t="s">
        <v>45</v>
      </c>
      <c r="AE124" s="8">
        <v>46155.560022106481</v>
      </c>
      <c r="AF124" s="6">
        <f t="shared" ref="AF124:AF125" si="101">S124/AC124</f>
        <v>0.52585596959999992</v>
      </c>
      <c r="AG124" s="6" t="b">
        <f>+Tabla9[[#This Row],[CUMPLIMIENTO]]&lt;100%</f>
        <v>1</v>
      </c>
      <c r="AH124" s="12">
        <f>((( (Tabla9[[#This Row],[FTP_CIERRE_MES]]/100)+1)^(30/360) -1)*(36000/30))/36000</f>
        <v>1.2239493171416853E-4</v>
      </c>
      <c r="AI124" s="3">
        <f>Tabla9[[#This Row],[FTP_DIARIO]]*Tabla9[[#This Row],[SALDO_PROM_CORREGIDO]]*Tabla9[[#This Row],[DIAS]]</f>
        <v>1930.8631647203965</v>
      </c>
      <c r="AJ124" s="3">
        <f>Tabla9[[#This Row],[REAL_FTP_MONTO]]-Tabla9[[#This Row],[INT_REAL]]</f>
        <v>1667.0914647203965</v>
      </c>
      <c r="AK124" s="3">
        <f>Tabla9[[#This Row],[FTP_DIARIO]]*Tabla9[[#This Row],[COMPROMISO]]*Tabla9[[#This Row],[DIAS]]</f>
        <v>3671.8479514250557</v>
      </c>
      <c r="AL124" s="13">
        <f>((( (Tabla9[[#This Row],[TASA_INT]])+1)^(30/360) -1)*(36000/30))/36000</f>
        <v>1.6621008262710881E-5</v>
      </c>
      <c r="AM124" s="3">
        <f>Tabla9[[#This Row],[TEA DIARIA]]*Tabla9[[#This Row],[SALDO_PROM_CORREGIDO]]*Tabla9[[#This Row],[DIAS]]</f>
        <v>262.20769247152322</v>
      </c>
      <c r="AN124" s="3">
        <f>Tabla9[[#This Row],[TEA DIARIA]]*Tabla9[[#This Row],[COMPROMISO]]*Tabla9[[#This Row],[DIAS]]</f>
        <v>498.6302478813264</v>
      </c>
      <c r="AO124" s="14">
        <f>+Tabla9[[#This Row],[PROYECTADO_FTP_MONTO]]-Tabla9[[#This Row],[PROYECCION_INTERES]]</f>
        <v>3173.2177035437294</v>
      </c>
      <c r="AP124" s="3">
        <f>Tabla9[[#This Row],[PROYECCION_MARGEN(FTP - Int compromiso)]]-Tabla9[[#This Row],[REAL_MARGEN(FTP - Int)]]</f>
        <v>1506.1262388233329</v>
      </c>
    </row>
    <row r="125" spans="1:42" x14ac:dyDescent="0.35">
      <c r="A125">
        <v>202604</v>
      </c>
      <c r="B125" s="7">
        <v>46142</v>
      </c>
      <c r="C125">
        <v>9174758</v>
      </c>
      <c r="D125" t="s">
        <v>36</v>
      </c>
      <c r="E125" t="s">
        <v>37</v>
      </c>
      <c r="F125" t="s">
        <v>128</v>
      </c>
      <c r="G125" t="s">
        <v>37</v>
      </c>
      <c r="H125" t="s">
        <v>491</v>
      </c>
      <c r="I125" t="s">
        <v>244</v>
      </c>
      <c r="J125" t="str">
        <f t="shared" si="98"/>
        <v>3.388</v>
      </c>
      <c r="K125" t="s">
        <v>32</v>
      </c>
      <c r="L125" t="s">
        <v>33</v>
      </c>
      <c r="M125" t="s">
        <v>34</v>
      </c>
      <c r="N125" t="s">
        <v>279</v>
      </c>
      <c r="O125" t="s">
        <v>44</v>
      </c>
      <c r="P125" s="3">
        <v>258303.60370000001</v>
      </c>
      <c r="Q125" s="3">
        <v>114924.798</v>
      </c>
      <c r="R125" s="4">
        <v>3.39E-2</v>
      </c>
      <c r="S125" s="3">
        <f>+Tabla9[[#This Row],[SAL_PROM_SOL]]</f>
        <v>258303.60370000001</v>
      </c>
      <c r="T125" s="4">
        <v>1.18E-2</v>
      </c>
      <c r="U125" s="4">
        <v>2.2100000000000002E-2</v>
      </c>
      <c r="V125" s="3">
        <v>718.17539999999997</v>
      </c>
      <c r="W125" s="3">
        <v>252.71619999999999</v>
      </c>
      <c r="X125" s="3">
        <v>465.45920000000001</v>
      </c>
      <c r="Y125" s="3">
        <v>0</v>
      </c>
      <c r="Z125" s="3">
        <v>465.45920000000001</v>
      </c>
      <c r="AA125">
        <v>30</v>
      </c>
      <c r="AB125" t="b">
        <f t="shared" si="100"/>
        <v>1</v>
      </c>
      <c r="AC125" s="3">
        <v>296000</v>
      </c>
      <c r="AD125" t="s">
        <v>45</v>
      </c>
      <c r="AE125" s="8">
        <v>46155.560022106481</v>
      </c>
      <c r="AF125" s="6">
        <f t="shared" si="101"/>
        <v>0.87264730979729732</v>
      </c>
      <c r="AG125" s="6" t="b">
        <f>+Tabla9[[#This Row],[CUMPLIMIENTO]]&lt;100%</f>
        <v>1</v>
      </c>
      <c r="AH125" s="12">
        <f>((( (Tabla9[[#This Row],[FTP_CIERRE_MES]]/100)+1)^(30/360) -1)*(36000/30))/36000</f>
        <v>9.2680593701059222E-5</v>
      </c>
      <c r="AI125" s="3">
        <f>Tabla9[[#This Row],[FTP_DIARIO]]*Tabla9[[#This Row],[SALDO_PROM_CORREGIDO]]*Tabla9[[#This Row],[DIAS]]</f>
        <v>718.19194038117348</v>
      </c>
      <c r="AJ125" s="3">
        <f>Tabla9[[#This Row],[REAL_FTP_MONTO]]-Tabla9[[#This Row],[INT_REAL]]</f>
        <v>465.47574038117352</v>
      </c>
      <c r="AK125" s="3">
        <f>Tabla9[[#This Row],[FTP_DIARIO]]*Tabla9[[#This Row],[COMPROMISO]]*Tabla9[[#This Row],[DIAS]]</f>
        <v>823.00367206540591</v>
      </c>
      <c r="AL125" s="13">
        <f>((( (Tabla9[[#This Row],[TASA_INT]])+1)^(30/360) -1)*(36000/30))/36000</f>
        <v>3.2601829678495044E-5</v>
      </c>
      <c r="AM125" s="3">
        <f>Tabla9[[#This Row],[TEA DIARIA]]*Tabla9[[#This Row],[SALDO_PROM_CORREGIDO]]*Tabla9[[#This Row],[DIAS]]</f>
        <v>252.63510279506647</v>
      </c>
      <c r="AN125" s="3">
        <f>Tabla9[[#This Row],[TEA DIARIA]]*Tabla9[[#This Row],[COMPROMISO]]*Tabla9[[#This Row],[DIAS]]</f>
        <v>289.50424754503598</v>
      </c>
      <c r="AO125" s="14">
        <f>+Tabla9[[#This Row],[PROYECTADO_FTP_MONTO]]-Tabla9[[#This Row],[PROYECCION_INTERES]]</f>
        <v>533.49942452036998</v>
      </c>
      <c r="AP125" s="3">
        <f>Tabla9[[#This Row],[PROYECCION_MARGEN(FTP - Int compromiso)]]-Tabla9[[#This Row],[REAL_MARGEN(FTP - Int)]]</f>
        <v>68.023684139196462</v>
      </c>
    </row>
    <row r="126" spans="1:42" x14ac:dyDescent="0.35">
      <c r="A126">
        <v>202604</v>
      </c>
      <c r="B126" s="7">
        <v>46142</v>
      </c>
      <c r="C126">
        <v>9206126</v>
      </c>
      <c r="D126" t="s">
        <v>36</v>
      </c>
      <c r="E126" t="s">
        <v>37</v>
      </c>
      <c r="F126" t="s">
        <v>129</v>
      </c>
      <c r="G126" t="s">
        <v>37</v>
      </c>
      <c r="H126" t="s">
        <v>491</v>
      </c>
      <c r="I126" t="s">
        <v>243</v>
      </c>
      <c r="J126" t="str">
        <f t="shared" ref="J126" si="102">IF(I126="SOLES","4.4963","3.388")</f>
        <v>4.4963</v>
      </c>
      <c r="K126" t="s">
        <v>32</v>
      </c>
      <c r="L126" t="s">
        <v>33</v>
      </c>
      <c r="M126" t="s">
        <v>31</v>
      </c>
      <c r="N126" t="s">
        <v>358</v>
      </c>
      <c r="O126" t="s">
        <v>44</v>
      </c>
      <c r="P126" s="3">
        <v>133875.38089999999</v>
      </c>
      <c r="Q126" s="3">
        <v>15687.3</v>
      </c>
      <c r="R126" s="4">
        <v>4.4999999999999998E-2</v>
      </c>
      <c r="S126" s="3">
        <f>+Tabla9[[#This Row],[SAL_PROM_SOL]]</f>
        <v>133875.38089999999</v>
      </c>
      <c r="T126" s="4">
        <v>5.8999999999999999E-3</v>
      </c>
      <c r="U126" s="4">
        <v>3.9100000000000003E-2</v>
      </c>
      <c r="V126" s="3">
        <v>491.57089999999999</v>
      </c>
      <c r="W126" s="3">
        <v>65.940299999999993</v>
      </c>
      <c r="X126" s="3">
        <v>425.63060000000002</v>
      </c>
      <c r="Y126" s="3">
        <v>5.9116</v>
      </c>
      <c r="Z126" s="3">
        <v>419.71899999999999</v>
      </c>
      <c r="AA126">
        <v>30</v>
      </c>
      <c r="AB126" t="b">
        <f t="shared" si="100"/>
        <v>1</v>
      </c>
      <c r="AC126" s="3">
        <v>1000000</v>
      </c>
      <c r="AD126" t="s">
        <v>45</v>
      </c>
      <c r="AE126" s="8">
        <v>46155.560022106481</v>
      </c>
      <c r="AF126" s="6">
        <f t="shared" ref="AF126" si="103">S126/AC126</f>
        <v>0.13387538089999998</v>
      </c>
      <c r="AG126" s="6" t="b">
        <f>+Tabla9[[#This Row],[CUMPLIMIENTO]]&lt;100%</f>
        <v>1</v>
      </c>
      <c r="AH126" s="12">
        <f>((( (Tabla9[[#This Row],[FTP_CIERRE_MES]]/100)+1)^(30/360) -1)*(36000/30))/36000</f>
        <v>1.2239493171416853E-4</v>
      </c>
      <c r="AI126" s="3">
        <f>Tabla9[[#This Row],[FTP_DIARIO]]*Tabla9[[#This Row],[SALDO_PROM_CORREGIDO]]*Tabla9[[#This Row],[DIAS]]</f>
        <v>491.57004310391403</v>
      </c>
      <c r="AJ126" s="3">
        <f>Tabla9[[#This Row],[REAL_FTP_MONTO]]-Tabla9[[#This Row],[INT_REAL]]</f>
        <v>425.62974310391405</v>
      </c>
      <c r="AK126" s="3">
        <f>Tabla9[[#This Row],[FTP_DIARIO]]*Tabla9[[#This Row],[COMPROMISO]]*Tabla9[[#This Row],[DIAS]]</f>
        <v>3671.8479514250557</v>
      </c>
      <c r="AL126" s="13">
        <f>((( (Tabla9[[#This Row],[TASA_INT]])+1)^(30/360) -1)*(36000/30))/36000</f>
        <v>1.6344736941794245E-5</v>
      </c>
      <c r="AM126" s="3">
        <f>Tabla9[[#This Row],[TEA DIARIA]]*Tabla9[[#This Row],[SALDO_PROM_CORREGIDO]]*Tabla9[[#This Row],[DIAS]]</f>
        <v>65.644736513790164</v>
      </c>
      <c r="AN126" s="3">
        <f>Tabla9[[#This Row],[TEA DIARIA]]*Tabla9[[#This Row],[COMPROMISO]]*Tabla9[[#This Row],[DIAS]]</f>
        <v>490.34210825382735</v>
      </c>
      <c r="AO126" s="14">
        <f>+Tabla9[[#This Row],[PROYECTADO_FTP_MONTO]]-Tabla9[[#This Row],[PROYECCION_INTERES]]</f>
        <v>3181.5058431712282</v>
      </c>
      <c r="AP126" s="3">
        <f>Tabla9[[#This Row],[PROYECCION_MARGEN(FTP - Int compromiso)]]-Tabla9[[#This Row],[REAL_MARGEN(FTP - Int)]]</f>
        <v>2755.8761000673139</v>
      </c>
    </row>
    <row r="127" spans="1:42" x14ac:dyDescent="0.35">
      <c r="A127">
        <v>202604</v>
      </c>
      <c r="B127" s="7">
        <v>46142</v>
      </c>
      <c r="C127">
        <v>9247012</v>
      </c>
      <c r="D127" t="s">
        <v>29</v>
      </c>
      <c r="E127" t="s">
        <v>30</v>
      </c>
      <c r="F127" t="s">
        <v>130</v>
      </c>
      <c r="G127" t="s">
        <v>30</v>
      </c>
      <c r="H127" t="s">
        <v>512</v>
      </c>
      <c r="I127" t="s">
        <v>243</v>
      </c>
      <c r="J127" t="str">
        <f t="shared" ref="J127" si="104">IF(I127="SOLES","4.4963","3.388")</f>
        <v>4.4963</v>
      </c>
      <c r="K127" t="s">
        <v>32</v>
      </c>
      <c r="L127" t="s">
        <v>33</v>
      </c>
      <c r="M127" t="s">
        <v>31</v>
      </c>
      <c r="N127" t="s">
        <v>359</v>
      </c>
      <c r="O127" t="s">
        <v>44</v>
      </c>
      <c r="P127" s="3">
        <v>6064441.3695</v>
      </c>
      <c r="Q127" s="3">
        <v>6510130.2999999998</v>
      </c>
      <c r="R127" s="4">
        <v>4.4999999999999998E-2</v>
      </c>
      <c r="S127" s="3">
        <f>+Tabla9[[#This Row],[SAL_PROM_SOL]]</f>
        <v>6064441.3695</v>
      </c>
      <c r="T127" s="4">
        <v>3.9300000000000002E-2</v>
      </c>
      <c r="U127" s="4">
        <v>5.7000000000000002E-3</v>
      </c>
      <c r="V127" s="3">
        <v>22267.709200000001</v>
      </c>
      <c r="W127" s="3">
        <v>19518.208600000002</v>
      </c>
      <c r="X127" s="3">
        <v>2749.5005999999998</v>
      </c>
      <c r="Y127" s="3">
        <v>43.9499</v>
      </c>
      <c r="Z127" s="3">
        <v>2705.5506999999998</v>
      </c>
      <c r="AA127">
        <v>30</v>
      </c>
      <c r="AB127" t="b">
        <f t="shared" si="100"/>
        <v>1</v>
      </c>
      <c r="AC127" s="3">
        <v>6900000</v>
      </c>
      <c r="AD127" t="s">
        <v>46</v>
      </c>
      <c r="AE127" s="8">
        <v>46155.560022106481</v>
      </c>
      <c r="AF127" s="6">
        <f t="shared" ref="AF127" si="105">S127/AC127</f>
        <v>0.87890454630434778</v>
      </c>
      <c r="AG127" s="6" t="b">
        <f>+Tabla9[[#This Row],[CUMPLIMIENTO]]&lt;100%</f>
        <v>1</v>
      </c>
      <c r="AH127" s="12">
        <f>((( (Tabla9[[#This Row],[FTP_CIERRE_MES]]/100)+1)^(30/360) -1)*(36000/30))/36000</f>
        <v>1.2239493171416853E-4</v>
      </c>
      <c r="AI127" s="3">
        <f>Tabla9[[#This Row],[FTP_DIARIO]]*Tabla9[[#This Row],[SALDO_PROM_CORREGIDO]]*Tabla9[[#This Row],[DIAS]]</f>
        <v>22267.706619135934</v>
      </c>
      <c r="AJ127" s="3">
        <f>Tabla9[[#This Row],[REAL_FTP_MONTO]]-Tabla9[[#This Row],[INT_REAL]]</f>
        <v>2749.4980191359318</v>
      </c>
      <c r="AK127" s="3">
        <f>Tabla9[[#This Row],[FTP_DIARIO]]*Tabla9[[#This Row],[COMPROMISO]]*Tabla9[[#This Row],[DIAS]]</f>
        <v>25335.750864832888</v>
      </c>
      <c r="AL127" s="13">
        <f>((( (Tabla9[[#This Row],[TASA_INT]])+1)^(30/360) -1)*(36000/30))/36000</f>
        <v>1.0724830159808037E-4</v>
      </c>
      <c r="AM127" s="3">
        <f>Tabla9[[#This Row],[TEA DIARIA]]*Tabla9[[#This Row],[SALDO_PROM_CORREGIDO]]*Tabla9[[#This Row],[DIAS]]</f>
        <v>19512.031110600346</v>
      </c>
      <c r="AN127" s="3">
        <f>Tabla9[[#This Row],[TEA DIARIA]]*Tabla9[[#This Row],[COMPROMISO]]*Tabla9[[#This Row],[DIAS]]</f>
        <v>22200.398430802637</v>
      </c>
      <c r="AO127" s="14">
        <f>+Tabla9[[#This Row],[PROYECTADO_FTP_MONTO]]-Tabla9[[#This Row],[PROYECCION_INTERES]]</f>
        <v>3135.3524340302502</v>
      </c>
      <c r="AP127" s="3">
        <f>Tabla9[[#This Row],[PROYECCION_MARGEN(FTP - Int compromiso)]]-Tabla9[[#This Row],[REAL_MARGEN(FTP - Int)]]</f>
        <v>385.85441489431832</v>
      </c>
    </row>
    <row r="128" spans="1:42" x14ac:dyDescent="0.35">
      <c r="A128">
        <v>202604</v>
      </c>
      <c r="B128" s="7">
        <v>46142</v>
      </c>
      <c r="C128">
        <v>9275942</v>
      </c>
      <c r="D128" t="s">
        <v>42</v>
      </c>
      <c r="E128" t="s">
        <v>48</v>
      </c>
      <c r="F128" t="s">
        <v>131</v>
      </c>
      <c r="G128" t="s">
        <v>48</v>
      </c>
      <c r="H128" t="s">
        <v>495</v>
      </c>
      <c r="I128" t="s">
        <v>243</v>
      </c>
      <c r="J128" t="str">
        <f t="shared" ref="J128" si="106">IF(I128="SOLES","4.4963","3.388")</f>
        <v>4.4963</v>
      </c>
      <c r="K128" t="s">
        <v>32</v>
      </c>
      <c r="L128" t="s">
        <v>33</v>
      </c>
      <c r="M128" t="s">
        <v>31</v>
      </c>
      <c r="N128" t="s">
        <v>360</v>
      </c>
      <c r="O128" t="s">
        <v>44</v>
      </c>
      <c r="P128" s="3">
        <v>5546572.8602999998</v>
      </c>
      <c r="Q128" s="3">
        <v>4429403.0199999996</v>
      </c>
      <c r="R128" s="4">
        <v>4.4999999999999998E-2</v>
      </c>
      <c r="S128" s="3">
        <f>+Tabla9[[#This Row],[SAL_PROM_SOL]]</f>
        <v>5546572.8602999998</v>
      </c>
      <c r="T128" s="4">
        <v>2.4E-2</v>
      </c>
      <c r="U128" s="4">
        <v>2.1000000000000001E-2</v>
      </c>
      <c r="V128" s="3">
        <v>20366.171300000002</v>
      </c>
      <c r="W128" s="3">
        <v>10972.231599999999</v>
      </c>
      <c r="X128" s="3">
        <v>9393.9397000000008</v>
      </c>
      <c r="Y128" s="3">
        <v>43.9499</v>
      </c>
      <c r="Z128" s="3">
        <v>9349.9897999999994</v>
      </c>
      <c r="AA128">
        <v>30</v>
      </c>
      <c r="AB128" t="b">
        <f t="shared" si="100"/>
        <v>1</v>
      </c>
      <c r="AC128" s="3">
        <v>5800000</v>
      </c>
      <c r="AD128" t="s">
        <v>46</v>
      </c>
      <c r="AE128" s="8">
        <v>46155.560022106481</v>
      </c>
      <c r="AF128" s="6">
        <f t="shared" ref="AF128" si="107">S128/AC128</f>
        <v>0.95630566556896546</v>
      </c>
      <c r="AG128" s="6" t="b">
        <f>+Tabla9[[#This Row],[CUMPLIMIENTO]]&lt;100%</f>
        <v>1</v>
      </c>
      <c r="AH128" s="12">
        <f>((( (Tabla9[[#This Row],[FTP_CIERRE_MES]]/100)+1)^(30/360) -1)*(36000/30))/36000</f>
        <v>1.2239493171416853E-4</v>
      </c>
      <c r="AI128" s="3">
        <f>Tabla9[[#This Row],[FTP_DIARIO]]*Tabla9[[#This Row],[SALDO_PROM_CORREGIDO]]*Tabla9[[#This Row],[DIAS]]</f>
        <v>20366.172194522365</v>
      </c>
      <c r="AJ128" s="3">
        <f>Tabla9[[#This Row],[REAL_FTP_MONTO]]-Tabla9[[#This Row],[INT_REAL]]</f>
        <v>9393.9405945223662</v>
      </c>
      <c r="AK128" s="3">
        <f>Tabla9[[#This Row],[FTP_DIARIO]]*Tabla9[[#This Row],[COMPROMISO]]*Tabla9[[#This Row],[DIAS]]</f>
        <v>21296.718118265322</v>
      </c>
      <c r="AL128" s="13">
        <f>((( (Tabla9[[#This Row],[TASA_INT]])+1)^(30/360) -1)*(36000/30))/36000</f>
        <v>6.59443846281101E-5</v>
      </c>
      <c r="AM128" s="3">
        <f>Tabla9[[#This Row],[TEA DIARIA]]*Tabla9[[#This Row],[SALDO_PROM_CORREGIDO]]*Tabla9[[#This Row],[DIAS]]</f>
        <v>10972.960022023801</v>
      </c>
      <c r="AN128" s="3">
        <f>Tabla9[[#This Row],[TEA DIARIA]]*Tabla9[[#This Row],[COMPROMISO]]*Tabla9[[#This Row],[DIAS]]</f>
        <v>11474.322925291157</v>
      </c>
      <c r="AO128" s="14">
        <f>+Tabla9[[#This Row],[PROYECTADO_FTP_MONTO]]-Tabla9[[#This Row],[PROYECCION_INTERES]]</f>
        <v>9822.3951929741652</v>
      </c>
      <c r="AP128" s="3">
        <f>Tabla9[[#This Row],[PROYECCION_MARGEN(FTP - Int compromiso)]]-Tabla9[[#This Row],[REAL_MARGEN(FTP - Int)]]</f>
        <v>428.45459845179903</v>
      </c>
    </row>
    <row r="129" spans="1:42" x14ac:dyDescent="0.35">
      <c r="A129">
        <v>202604</v>
      </c>
      <c r="B129" s="7">
        <v>46142</v>
      </c>
      <c r="C129">
        <v>9328022</v>
      </c>
      <c r="D129" t="s">
        <v>29</v>
      </c>
      <c r="E129" t="s">
        <v>35</v>
      </c>
      <c r="F129" t="s">
        <v>132</v>
      </c>
      <c r="G129" t="s">
        <v>35</v>
      </c>
      <c r="H129" t="s">
        <v>513</v>
      </c>
      <c r="I129" t="s">
        <v>243</v>
      </c>
      <c r="J129" t="str">
        <f t="shared" ref="J129:J130" si="108">IF(I129="SOLES","4.4963","3.388")</f>
        <v>4.4963</v>
      </c>
      <c r="K129" t="s">
        <v>32</v>
      </c>
      <c r="L129" t="s">
        <v>41</v>
      </c>
      <c r="M129" t="s">
        <v>31</v>
      </c>
      <c r="N129" t="s">
        <v>361</v>
      </c>
      <c r="O129" t="s">
        <v>44</v>
      </c>
      <c r="P129" s="3">
        <v>1407073.1310000001</v>
      </c>
      <c r="Q129" s="3">
        <v>1366144.11</v>
      </c>
      <c r="R129" s="4">
        <v>4.4999999999999998E-2</v>
      </c>
      <c r="S129" s="3">
        <f>+Tabla9[[#This Row],[SAL_PROM_SOL]]</f>
        <v>1407073.1310000001</v>
      </c>
      <c r="T129" s="4">
        <v>0.02</v>
      </c>
      <c r="U129" s="4">
        <v>2.5000000000000001E-2</v>
      </c>
      <c r="V129" s="3">
        <v>5166.5589</v>
      </c>
      <c r="W129" s="3">
        <v>2322.9713999999999</v>
      </c>
      <c r="X129" s="3">
        <v>2843.5875000000001</v>
      </c>
      <c r="Y129" s="3">
        <v>43.9499</v>
      </c>
      <c r="Z129" s="3">
        <v>2799.6376</v>
      </c>
      <c r="AA129">
        <v>30</v>
      </c>
      <c r="AB129" t="b">
        <f t="shared" si="100"/>
        <v>1</v>
      </c>
      <c r="AC129" s="3">
        <v>1400000</v>
      </c>
      <c r="AD129" t="s">
        <v>46</v>
      </c>
      <c r="AE129" s="8">
        <v>46155.560022106481</v>
      </c>
      <c r="AF129" s="6">
        <f t="shared" ref="AF129:AF130" si="109">S129/AC129</f>
        <v>1.0050522364285714</v>
      </c>
      <c r="AG129" s="6" t="b">
        <f>+Tabla9[[#This Row],[CUMPLIMIENTO]]&lt;100%</f>
        <v>0</v>
      </c>
      <c r="AH129" s="12">
        <f>((( (Tabla9[[#This Row],[FTP_CIERRE_MES]]/100)+1)^(30/360) -1)*(36000/30))/36000</f>
        <v>1.2239493171416853E-4</v>
      </c>
      <c r="AI129" s="3">
        <f>Tabla9[[#This Row],[FTP_DIARIO]]*Tabla9[[#This Row],[SALDO_PROM_CORREGIDO]]*Tabla9[[#This Row],[DIAS]]</f>
        <v>5166.558593567589</v>
      </c>
      <c r="AJ129" s="3">
        <f>Tabla9[[#This Row],[REAL_FTP_MONTO]]-Tabla9[[#This Row],[INT_REAL]]</f>
        <v>2843.5871935675891</v>
      </c>
      <c r="AK129" s="3">
        <f>Tabla9[[#This Row],[FTP_DIARIO]]*Tabla9[[#This Row],[COMPROMISO]]*Tabla9[[#This Row],[DIAS]]</f>
        <v>5140.5871319950784</v>
      </c>
      <c r="AL129" s="13">
        <f>((( (Tabla9[[#This Row],[TASA_INT]])+1)^(30/360) -1)*(36000/30))/36000</f>
        <v>5.5052710064007471E-5</v>
      </c>
      <c r="AM129" s="3">
        <f>Tabla9[[#This Row],[TEA DIARIA]]*Tabla9[[#This Row],[SALDO_PROM_CORREGIDO]]*Tabla9[[#This Row],[DIAS]]</f>
        <v>2323.895673593946</v>
      </c>
      <c r="AN129" s="3">
        <f>Tabla9[[#This Row],[TEA DIARIA]]*Tabla9[[#This Row],[COMPROMISO]]*Tabla9[[#This Row],[DIAS]]</f>
        <v>2312.2138226883139</v>
      </c>
      <c r="AO129" s="14">
        <f>+Tabla9[[#This Row],[PROYECTADO_FTP_MONTO]]-Tabla9[[#This Row],[PROYECCION_INTERES]]</f>
        <v>2828.3733093067644</v>
      </c>
      <c r="AP129" s="3">
        <f>Tabla9[[#This Row],[PROYECCION_MARGEN(FTP - Int compromiso)]]-Tabla9[[#This Row],[REAL_MARGEN(FTP - Int)]]</f>
        <v>-15.21388426082467</v>
      </c>
    </row>
    <row r="130" spans="1:42" x14ac:dyDescent="0.35">
      <c r="A130">
        <v>202604</v>
      </c>
      <c r="B130" s="7">
        <v>46142</v>
      </c>
      <c r="C130">
        <v>9330565</v>
      </c>
      <c r="D130" t="s">
        <v>29</v>
      </c>
      <c r="E130" t="s">
        <v>40</v>
      </c>
      <c r="F130" t="s">
        <v>133</v>
      </c>
      <c r="G130" t="s">
        <v>40</v>
      </c>
      <c r="H130" t="s">
        <v>509</v>
      </c>
      <c r="I130" t="s">
        <v>243</v>
      </c>
      <c r="J130" t="str">
        <f t="shared" si="108"/>
        <v>4.4963</v>
      </c>
      <c r="K130" t="s">
        <v>32</v>
      </c>
      <c r="L130" t="s">
        <v>33</v>
      </c>
      <c r="M130" t="s">
        <v>31</v>
      </c>
      <c r="N130" t="s">
        <v>362</v>
      </c>
      <c r="O130" t="s">
        <v>44</v>
      </c>
      <c r="P130" s="3">
        <v>553434.82990000001</v>
      </c>
      <c r="Q130" s="3">
        <v>242196.09</v>
      </c>
      <c r="R130" s="4">
        <v>4.4999999999999998E-2</v>
      </c>
      <c r="S130" s="3">
        <f>+Tabla9[[#This Row],[SAL_PROM_SOL]]</f>
        <v>553434.82990000001</v>
      </c>
      <c r="T130" s="4">
        <v>3.9E-2</v>
      </c>
      <c r="U130" s="4">
        <v>6.0000000000000001E-3</v>
      </c>
      <c r="V130" s="3">
        <v>2032.1309000000001</v>
      </c>
      <c r="W130" s="3">
        <v>1767.1094000000001</v>
      </c>
      <c r="X130" s="3">
        <v>265.0215</v>
      </c>
      <c r="Y130" s="3">
        <v>43.9499</v>
      </c>
      <c r="Z130" s="3">
        <v>221.07159999999999</v>
      </c>
      <c r="AA130">
        <v>30</v>
      </c>
      <c r="AB130" t="b">
        <f t="shared" si="100"/>
        <v>1</v>
      </c>
      <c r="AC130" s="3">
        <v>1000000</v>
      </c>
      <c r="AD130" t="s">
        <v>46</v>
      </c>
      <c r="AE130" s="8">
        <v>46155.560022106481</v>
      </c>
      <c r="AF130" s="6">
        <f t="shared" si="109"/>
        <v>0.55343482990000004</v>
      </c>
      <c r="AG130" s="6" t="b">
        <f>+Tabla9[[#This Row],[CUMPLIMIENTO]]&lt;100%</f>
        <v>1</v>
      </c>
      <c r="AH130" s="12">
        <f>((( (Tabla9[[#This Row],[FTP_CIERRE_MES]]/100)+1)^(30/360) -1)*(36000/30))/36000</f>
        <v>1.2239493171416853E-4</v>
      </c>
      <c r="AI130" s="3">
        <f>Tabla9[[#This Row],[FTP_DIARIO]]*Tabla9[[#This Row],[SALDO_PROM_CORREGIDO]]*Tabla9[[#This Row],[DIAS]]</f>
        <v>2032.128546415589</v>
      </c>
      <c r="AJ130" s="3">
        <f>Tabla9[[#This Row],[REAL_FTP_MONTO]]-Tabla9[[#This Row],[INT_REAL]]</f>
        <v>265.01914641558892</v>
      </c>
      <c r="AK130" s="3">
        <f>Tabla9[[#This Row],[FTP_DIARIO]]*Tabla9[[#This Row],[COMPROMISO]]*Tabla9[[#This Row],[DIAS]]</f>
        <v>3671.8479514250557</v>
      </c>
      <c r="AL130" s="13">
        <f>((( (Tabla9[[#This Row],[TASA_INT]])+1)^(30/360) -1)*(36000/30))/36000</f>
        <v>1.0644379359607085E-4</v>
      </c>
      <c r="AM130" s="3">
        <f>Tabla9[[#This Row],[TEA DIARIA]]*Tabla9[[#This Row],[SALDO_PROM_CORREGIDO]]*Tabla9[[#This Row],[DIAS]]</f>
        <v>1767.2910840825655</v>
      </c>
      <c r="AN130" s="3">
        <f>Tabla9[[#This Row],[TEA DIARIA]]*Tabla9[[#This Row],[COMPROMISO]]*Tabla9[[#This Row],[DIAS]]</f>
        <v>3193.3138078821253</v>
      </c>
      <c r="AO130" s="14">
        <f>+Tabla9[[#This Row],[PROYECTADO_FTP_MONTO]]-Tabla9[[#This Row],[PROYECCION_INTERES]]</f>
        <v>478.53414354293045</v>
      </c>
      <c r="AP130" s="3">
        <f>Tabla9[[#This Row],[PROYECCION_MARGEN(FTP - Int compromiso)]]-Tabla9[[#This Row],[REAL_MARGEN(FTP - Int)]]</f>
        <v>213.51499712734153</v>
      </c>
    </row>
    <row r="131" spans="1:42" x14ac:dyDescent="0.35">
      <c r="A131">
        <v>202604</v>
      </c>
      <c r="B131" s="7">
        <v>46142</v>
      </c>
      <c r="C131">
        <v>9555852</v>
      </c>
      <c r="D131" t="s">
        <v>36</v>
      </c>
      <c r="E131" t="s">
        <v>37</v>
      </c>
      <c r="F131" t="s">
        <v>134</v>
      </c>
      <c r="G131" t="s">
        <v>37</v>
      </c>
      <c r="H131" t="s">
        <v>498</v>
      </c>
      <c r="I131" t="s">
        <v>243</v>
      </c>
      <c r="J131" t="str">
        <f t="shared" ref="J131" si="110">IF(I131="SOLES","4.4963","3.388")</f>
        <v>4.4963</v>
      </c>
      <c r="K131" t="s">
        <v>32</v>
      </c>
      <c r="L131" t="s">
        <v>33</v>
      </c>
      <c r="M131" t="s">
        <v>31</v>
      </c>
      <c r="N131" t="s">
        <v>339</v>
      </c>
      <c r="O131" t="s">
        <v>44</v>
      </c>
      <c r="P131" s="3">
        <v>3075947.1101000002</v>
      </c>
      <c r="Q131" s="3">
        <v>3180136.57</v>
      </c>
      <c r="R131" s="4">
        <v>4.4999999999999998E-2</v>
      </c>
      <c r="S131" s="3">
        <f>+Tabla9[[#This Row],[SAL_PROM_SOL]]</f>
        <v>3075947.1101000002</v>
      </c>
      <c r="T131" s="4">
        <v>1.6E-2</v>
      </c>
      <c r="U131" s="4">
        <v>2.9000000000000001E-2</v>
      </c>
      <c r="V131" s="3">
        <v>11294.4103</v>
      </c>
      <c r="W131" s="3">
        <v>4074.701</v>
      </c>
      <c r="X131" s="3">
        <v>7219.7093000000004</v>
      </c>
      <c r="Y131" s="3">
        <v>0</v>
      </c>
      <c r="Z131" s="3">
        <v>7219.7093000000004</v>
      </c>
      <c r="AA131">
        <v>30</v>
      </c>
      <c r="AB131" t="b">
        <f t="shared" si="100"/>
        <v>1</v>
      </c>
      <c r="AC131" s="3">
        <v>4000000</v>
      </c>
      <c r="AD131" t="s">
        <v>46</v>
      </c>
      <c r="AE131" s="8">
        <v>46155.560022106481</v>
      </c>
      <c r="AF131" s="6">
        <f t="shared" ref="AF131" si="111">S131/AC131</f>
        <v>0.768986777525</v>
      </c>
      <c r="AG131" s="6" t="b">
        <f>+Tabla9[[#This Row],[CUMPLIMIENTO]]&lt;100%</f>
        <v>1</v>
      </c>
      <c r="AH131" s="12">
        <f>((( (Tabla9[[#This Row],[FTP_CIERRE_MES]]/100)+1)^(30/360) -1)*(36000/30))/36000</f>
        <v>1.2239493171416853E-4</v>
      </c>
      <c r="AI131" s="3">
        <f>Tabla9[[#This Row],[FTP_DIARIO]]*Tabla9[[#This Row],[SALDO_PROM_CORREGIDO]]*Tabla9[[#This Row],[DIAS]]</f>
        <v>11294.410094912506</v>
      </c>
      <c r="AJ131" s="3">
        <f>Tabla9[[#This Row],[REAL_FTP_MONTO]]-Tabla9[[#This Row],[INT_REAL]]</f>
        <v>7219.7090949125059</v>
      </c>
      <c r="AK131" s="3">
        <f>Tabla9[[#This Row],[FTP_DIARIO]]*Tabla9[[#This Row],[COMPROMISO]]*Tabla9[[#This Row],[DIAS]]</f>
        <v>14687.391805700223</v>
      </c>
      <c r="AL131" s="13">
        <f>((( (Tabla9[[#This Row],[TASA_INT]])+1)^(30/360) -1)*(36000/30))/36000</f>
        <v>4.412181181694397E-5</v>
      </c>
      <c r="AM131" s="3">
        <f>Tabla9[[#This Row],[TEA DIARIA]]*Tabla9[[#This Row],[SALDO_PROM_CORREGIDO]]*Tabla9[[#This Row],[DIAS]]</f>
        <v>4071.4907865211453</v>
      </c>
      <c r="AN131" s="3">
        <f>Tabla9[[#This Row],[TEA DIARIA]]*Tabla9[[#This Row],[COMPROMISO]]*Tabla9[[#This Row],[DIAS]]</f>
        <v>5294.6174180332764</v>
      </c>
      <c r="AO131" s="14">
        <f>+Tabla9[[#This Row],[PROYECTADO_FTP_MONTO]]-Tabla9[[#This Row],[PROYECCION_INTERES]]</f>
        <v>9392.7743876669465</v>
      </c>
      <c r="AP131" s="3">
        <f>Tabla9[[#This Row],[PROYECCION_MARGEN(FTP - Int compromiso)]]-Tabla9[[#This Row],[REAL_MARGEN(FTP - Int)]]</f>
        <v>2173.0652927544406</v>
      </c>
    </row>
    <row r="132" spans="1:42" x14ac:dyDescent="0.35">
      <c r="A132">
        <v>202604</v>
      </c>
      <c r="B132" s="7">
        <v>46142</v>
      </c>
      <c r="C132">
        <v>9993868</v>
      </c>
      <c r="D132" t="s">
        <v>36</v>
      </c>
      <c r="E132" t="s">
        <v>37</v>
      </c>
      <c r="F132" t="s">
        <v>135</v>
      </c>
      <c r="G132" t="s">
        <v>37</v>
      </c>
      <c r="H132" t="s">
        <v>498</v>
      </c>
      <c r="I132" t="s">
        <v>243</v>
      </c>
      <c r="J132" t="str">
        <f t="shared" ref="J132" si="112">IF(I132="SOLES","4.4963","3.388")</f>
        <v>4.4963</v>
      </c>
      <c r="K132" t="s">
        <v>32</v>
      </c>
      <c r="L132" t="s">
        <v>33</v>
      </c>
      <c r="M132" t="s">
        <v>31</v>
      </c>
      <c r="N132" t="s">
        <v>363</v>
      </c>
      <c r="O132" t="s">
        <v>44</v>
      </c>
      <c r="P132" s="3">
        <v>497704.83100000001</v>
      </c>
      <c r="Q132" s="3">
        <v>477401.15</v>
      </c>
      <c r="R132" s="4">
        <v>4.4999999999999998E-2</v>
      </c>
      <c r="S132" s="3">
        <f>+Tabla9[[#This Row],[SAL_PROM_SOL]]</f>
        <v>497704.83100000001</v>
      </c>
      <c r="T132" s="4">
        <v>1.06E-2</v>
      </c>
      <c r="U132" s="4">
        <v>3.44E-2</v>
      </c>
      <c r="V132" s="3">
        <v>1827.4996000000001</v>
      </c>
      <c r="W132" s="3">
        <v>438.95839999999998</v>
      </c>
      <c r="X132" s="3">
        <v>1388.5411999999999</v>
      </c>
      <c r="Y132" s="3">
        <v>43.9499</v>
      </c>
      <c r="Z132" s="3">
        <v>1344.5913</v>
      </c>
      <c r="AA132">
        <v>30</v>
      </c>
      <c r="AB132" t="b">
        <f t="shared" si="100"/>
        <v>1</v>
      </c>
      <c r="AC132" s="3">
        <v>15000000</v>
      </c>
      <c r="AD132" t="s">
        <v>46</v>
      </c>
      <c r="AE132" s="8">
        <v>46155.560022106481</v>
      </c>
      <c r="AF132" s="6">
        <f t="shared" ref="AF132" si="113">S132/AC132</f>
        <v>3.318032206666667E-2</v>
      </c>
      <c r="AG132" s="6" t="b">
        <f>+Tabla9[[#This Row],[CUMPLIMIENTO]]&lt;100%</f>
        <v>1</v>
      </c>
      <c r="AH132" s="12">
        <f>((( (Tabla9[[#This Row],[FTP_CIERRE_MES]]/100)+1)^(30/360) -1)*(36000/30))/36000</f>
        <v>1.2239493171416853E-4</v>
      </c>
      <c r="AI132" s="3">
        <f>Tabla9[[#This Row],[FTP_DIARIO]]*Tabla9[[#This Row],[SALDO_PROM_CORREGIDO]]*Tabla9[[#This Row],[DIAS]]</f>
        <v>1827.4964641217036</v>
      </c>
      <c r="AJ132" s="3">
        <f>Tabla9[[#This Row],[REAL_FTP_MONTO]]-Tabla9[[#This Row],[INT_REAL]]</f>
        <v>1388.5380641217037</v>
      </c>
      <c r="AK132" s="3">
        <f>Tabla9[[#This Row],[FTP_DIARIO]]*Tabla9[[#This Row],[COMPROMISO]]*Tabla9[[#This Row],[DIAS]]</f>
        <v>55077.719271375834</v>
      </c>
      <c r="AL132" s="13">
        <f>((( (Tabla9[[#This Row],[TASA_INT]])+1)^(30/360) -1)*(36000/30))/36000</f>
        <v>2.9302354865009168E-5</v>
      </c>
      <c r="AM132" s="3">
        <f>Tabla9[[#This Row],[TEA DIARIA]]*Tabla9[[#This Row],[SALDO_PROM_CORREGIDO]]*Tabla9[[#This Row],[DIAS]]</f>
        <v>437.51770727974252</v>
      </c>
      <c r="AN132" s="3">
        <f>Tabla9[[#This Row],[TEA DIARIA]]*Tabla9[[#This Row],[COMPROMISO]]*Tabla9[[#This Row],[DIAS]]</f>
        <v>13186.059689254127</v>
      </c>
      <c r="AO132" s="14">
        <f>+Tabla9[[#This Row],[PROYECTADO_FTP_MONTO]]-Tabla9[[#This Row],[PROYECCION_INTERES]]</f>
        <v>41891.659582121705</v>
      </c>
      <c r="AP132" s="3">
        <f>Tabla9[[#This Row],[PROYECCION_MARGEN(FTP - Int compromiso)]]-Tabla9[[#This Row],[REAL_MARGEN(FTP - Int)]]</f>
        <v>40503.121518</v>
      </c>
    </row>
    <row r="133" spans="1:42" x14ac:dyDescent="0.35">
      <c r="A133">
        <v>202604</v>
      </c>
      <c r="B133" s="7">
        <v>46142</v>
      </c>
      <c r="C133">
        <v>10014104</v>
      </c>
      <c r="D133" t="s">
        <v>36</v>
      </c>
      <c r="E133" t="s">
        <v>37</v>
      </c>
      <c r="F133" t="s">
        <v>136</v>
      </c>
      <c r="G133" t="s">
        <v>37</v>
      </c>
      <c r="H133" t="s">
        <v>498</v>
      </c>
      <c r="I133" t="s">
        <v>244</v>
      </c>
      <c r="J133" t="str">
        <f t="shared" ref="J133:J134" si="114">IF(I133="SOLES","4.4963","3.388")</f>
        <v>3.388</v>
      </c>
      <c r="K133" t="s">
        <v>32</v>
      </c>
      <c r="L133" t="s">
        <v>33</v>
      </c>
      <c r="M133" t="s">
        <v>34</v>
      </c>
      <c r="N133" t="s">
        <v>364</v>
      </c>
      <c r="O133" t="s">
        <v>44</v>
      </c>
      <c r="P133" s="3">
        <v>253477374.99700001</v>
      </c>
      <c r="Q133" s="3">
        <v>41294136.167999998</v>
      </c>
      <c r="R133" s="4">
        <v>3.39E-2</v>
      </c>
      <c r="S133" s="3">
        <f>+Tabla9[[#This Row],[SAL_PROM_SOL]]</f>
        <v>253477374.99700001</v>
      </c>
      <c r="T133" s="4">
        <v>4.0000000000000001E-3</v>
      </c>
      <c r="U133" s="4">
        <v>2.9899999999999999E-2</v>
      </c>
      <c r="V133" s="3">
        <v>704773.01049999997</v>
      </c>
      <c r="W133" s="3">
        <v>84337.042499999996</v>
      </c>
      <c r="X133" s="3">
        <v>620435.96799999999</v>
      </c>
      <c r="Y133" s="3">
        <v>0</v>
      </c>
      <c r="Z133" s="3">
        <v>620435.96799999999</v>
      </c>
      <c r="AA133">
        <v>30</v>
      </c>
      <c r="AB133" t="b">
        <f t="shared" si="100"/>
        <v>1</v>
      </c>
      <c r="AC133" s="3">
        <v>81400000</v>
      </c>
      <c r="AD133" t="s">
        <v>46</v>
      </c>
      <c r="AE133" s="8">
        <v>46155.560022106481</v>
      </c>
      <c r="AF133" s="6">
        <f t="shared" ref="AF133:AF134" si="115">S133/AC133</f>
        <v>3.1139726658108109</v>
      </c>
      <c r="AG133" s="6" t="b">
        <f>+Tabla9[[#This Row],[CUMPLIMIENTO]]&lt;100%</f>
        <v>0</v>
      </c>
      <c r="AH133" s="12">
        <f>((( (Tabla9[[#This Row],[FTP_CIERRE_MES]]/100)+1)^(30/360) -1)*(36000/30))/36000</f>
        <v>9.2680593701059222E-5</v>
      </c>
      <c r="AI133" s="3">
        <f>Tabla9[[#This Row],[FTP_DIARIO]]*Tabla9[[#This Row],[SALDO_PROM_CORREGIDO]]*Tabla9[[#This Row],[DIAS]]</f>
        <v>704773.00813523948</v>
      </c>
      <c r="AJ133" s="3">
        <f>Tabla9[[#This Row],[REAL_FTP_MONTO]]-Tabla9[[#This Row],[INT_REAL]]</f>
        <v>620435.9656352395</v>
      </c>
      <c r="AK133" s="3">
        <f>Tabla9[[#This Row],[FTP_DIARIO]]*Tabla9[[#This Row],[COMPROMISO]]*Tabla9[[#This Row],[DIAS]]</f>
        <v>226326.0098179866</v>
      </c>
      <c r="AL133" s="13">
        <f>((( (Tabla9[[#This Row],[TASA_INT]])+1)^(30/360) -1)*(36000/30))/36000</f>
        <v>1.1090792646991272E-5</v>
      </c>
      <c r="AM133" s="3">
        <f>Tabla9[[#This Row],[TEA DIARIA]]*Tabla9[[#This Row],[SALDO_PROM_CORREGIDO]]*Tabla9[[#This Row],[DIAS]]</f>
        <v>84337.950203861299</v>
      </c>
      <c r="AN133" s="3">
        <f>Tabla9[[#This Row],[TEA DIARIA]]*Tabla9[[#This Row],[COMPROMISO]]*Tabla9[[#This Row],[DIAS]]</f>
        <v>27083.715643952688</v>
      </c>
      <c r="AO133" s="14">
        <f>+Tabla9[[#This Row],[PROYECTADO_FTP_MONTO]]-Tabla9[[#This Row],[PROYECCION_INTERES]]</f>
        <v>199242.29417403392</v>
      </c>
      <c r="AP133" s="3">
        <f>Tabla9[[#This Row],[PROYECCION_MARGEN(FTP - Int compromiso)]]-Tabla9[[#This Row],[REAL_MARGEN(FTP - Int)]]</f>
        <v>-421193.67146120558</v>
      </c>
    </row>
    <row r="134" spans="1:42" x14ac:dyDescent="0.35">
      <c r="A134">
        <v>202604</v>
      </c>
      <c r="B134" s="7">
        <v>46142</v>
      </c>
      <c r="C134">
        <v>10014104</v>
      </c>
      <c r="D134" t="s">
        <v>36</v>
      </c>
      <c r="E134" t="s">
        <v>37</v>
      </c>
      <c r="F134" t="s">
        <v>136</v>
      </c>
      <c r="G134" t="s">
        <v>37</v>
      </c>
      <c r="H134" t="s">
        <v>498</v>
      </c>
      <c r="I134" t="s">
        <v>243</v>
      </c>
      <c r="J134" t="str">
        <f t="shared" si="114"/>
        <v>4.4963</v>
      </c>
      <c r="K134" t="s">
        <v>32</v>
      </c>
      <c r="L134" t="s">
        <v>33</v>
      </c>
      <c r="M134" t="s">
        <v>31</v>
      </c>
      <c r="N134" t="s">
        <v>365</v>
      </c>
      <c r="O134" t="s">
        <v>44</v>
      </c>
      <c r="P134" s="3">
        <v>127752715.9886</v>
      </c>
      <c r="Q134" s="3">
        <v>304194136.5</v>
      </c>
      <c r="R134" s="4">
        <v>4.4999999999999998E-2</v>
      </c>
      <c r="S134" s="3">
        <f>+Tabla9[[#This Row],[SAL_PROM_SOL]]</f>
        <v>127752715.9886</v>
      </c>
      <c r="T134" s="4">
        <v>7.0000000000000001E-3</v>
      </c>
      <c r="U134" s="4">
        <v>3.7999999999999999E-2</v>
      </c>
      <c r="V134" s="3">
        <v>469088.54989999998</v>
      </c>
      <c r="W134" s="3">
        <v>74282.948799999998</v>
      </c>
      <c r="X134" s="3">
        <v>394805.60110000003</v>
      </c>
      <c r="Y134" s="3">
        <v>0</v>
      </c>
      <c r="Z134" s="3">
        <v>394805.60110000003</v>
      </c>
      <c r="AA134">
        <v>30</v>
      </c>
      <c r="AB134" t="b">
        <f t="shared" si="100"/>
        <v>1</v>
      </c>
      <c r="AC134" s="3">
        <v>255000000</v>
      </c>
      <c r="AD134" t="s">
        <v>46</v>
      </c>
      <c r="AE134" s="8">
        <v>46155.560022106481</v>
      </c>
      <c r="AF134" s="6">
        <f t="shared" si="115"/>
        <v>0.50099104309254905</v>
      </c>
      <c r="AG134" s="6" t="b">
        <f>+Tabla9[[#This Row],[CUMPLIMIENTO]]&lt;100%</f>
        <v>1</v>
      </c>
      <c r="AH134" s="12">
        <f>((( (Tabla9[[#This Row],[FTP_CIERRE_MES]]/100)+1)^(30/360) -1)*(36000/30))/36000</f>
        <v>1.2239493171416853E-4</v>
      </c>
      <c r="AI134" s="3">
        <f>Tabla9[[#This Row],[FTP_DIARIO]]*Tabla9[[#This Row],[SALDO_PROM_CORREGIDO]]*Tabla9[[#This Row],[DIAS]]</f>
        <v>469088.54849172785</v>
      </c>
      <c r="AJ134" s="3">
        <f>Tabla9[[#This Row],[REAL_FTP_MONTO]]-Tabla9[[#This Row],[INT_REAL]]</f>
        <v>394805.59969172784</v>
      </c>
      <c r="AK134" s="3">
        <f>Tabla9[[#This Row],[FTP_DIARIO]]*Tabla9[[#This Row],[COMPROMISO]]*Tabla9[[#This Row],[DIAS]]</f>
        <v>936321.22761338926</v>
      </c>
      <c r="AL134" s="13">
        <f>((( (Tabla9[[#This Row],[TASA_INT]])+1)^(30/360) -1)*(36000/30))/36000</f>
        <v>1.9382337765172509E-5</v>
      </c>
      <c r="AM134" s="3">
        <f>Tabla9[[#This Row],[TEA DIARIA]]*Tabla9[[#This Row],[SALDO_PROM_CORREGIDO]]*Tabla9[[#This Row],[DIAS]]</f>
        <v>74284.388751275983</v>
      </c>
      <c r="AN134" s="3">
        <f>Tabla9[[#This Row],[TEA DIARIA]]*Tabla9[[#This Row],[COMPROMISO]]*Tabla9[[#This Row],[DIAS]]</f>
        <v>148274.88390356969</v>
      </c>
      <c r="AO134" s="14">
        <f>+Tabla9[[#This Row],[PROYECTADO_FTP_MONTO]]-Tabla9[[#This Row],[PROYECCION_INTERES]]</f>
        <v>788046.3437098196</v>
      </c>
      <c r="AP134" s="3">
        <f>Tabla9[[#This Row],[PROYECCION_MARGEN(FTP - Int compromiso)]]-Tabla9[[#This Row],[REAL_MARGEN(FTP - Int)]]</f>
        <v>393240.74401809176</v>
      </c>
    </row>
    <row r="135" spans="1:42" x14ac:dyDescent="0.35">
      <c r="A135">
        <v>202604</v>
      </c>
      <c r="B135" s="7">
        <v>46142</v>
      </c>
      <c r="C135">
        <v>10116663</v>
      </c>
      <c r="D135" t="s">
        <v>29</v>
      </c>
      <c r="E135" t="s">
        <v>40</v>
      </c>
      <c r="F135" t="s">
        <v>137</v>
      </c>
      <c r="G135" t="s">
        <v>40</v>
      </c>
      <c r="H135" t="s">
        <v>509</v>
      </c>
      <c r="I135" t="s">
        <v>243</v>
      </c>
      <c r="J135" t="str">
        <f t="shared" ref="J135" si="116">IF(I135="SOLES","4.4963","3.388")</f>
        <v>4.4963</v>
      </c>
      <c r="K135" t="s">
        <v>32</v>
      </c>
      <c r="L135" t="s">
        <v>33</v>
      </c>
      <c r="M135" t="s">
        <v>31</v>
      </c>
      <c r="N135" t="s">
        <v>366</v>
      </c>
      <c r="O135" t="s">
        <v>44</v>
      </c>
      <c r="P135" s="3">
        <v>534501.73160000006</v>
      </c>
      <c r="Q135" s="3">
        <v>3655.78</v>
      </c>
      <c r="R135" s="4">
        <v>4.4999999999999998E-2</v>
      </c>
      <c r="S135" s="3">
        <f>+Tabla9[[#This Row],[SAL_PROM_SOL]]</f>
        <v>534501.73160000006</v>
      </c>
      <c r="T135" s="4">
        <v>3.85E-2</v>
      </c>
      <c r="U135" s="4">
        <v>6.4999999999999997E-3</v>
      </c>
      <c r="V135" s="3">
        <v>1962.6098</v>
      </c>
      <c r="W135" s="3">
        <v>1684.9698000000001</v>
      </c>
      <c r="X135" s="3">
        <v>277.64</v>
      </c>
      <c r="Y135" s="3">
        <v>2.0004</v>
      </c>
      <c r="Z135" s="3">
        <v>275.63959999999997</v>
      </c>
      <c r="AA135">
        <v>30</v>
      </c>
      <c r="AB135" t="b">
        <f t="shared" si="100"/>
        <v>1</v>
      </c>
      <c r="AC135" s="3">
        <v>100000</v>
      </c>
      <c r="AD135" t="s">
        <v>46</v>
      </c>
      <c r="AE135" s="8">
        <v>46155.560022106481</v>
      </c>
      <c r="AF135" s="6">
        <f t="shared" ref="AF135" si="117">S135/AC135</f>
        <v>5.3450173160000007</v>
      </c>
      <c r="AG135" s="6" t="b">
        <f>+Tabla9[[#This Row],[CUMPLIMIENTO]]&lt;100%</f>
        <v>0</v>
      </c>
      <c r="AH135" s="12">
        <f>((( (Tabla9[[#This Row],[FTP_CIERRE_MES]]/100)+1)^(30/360) -1)*(36000/30))/36000</f>
        <v>1.2239493171416853E-4</v>
      </c>
      <c r="AI135" s="3">
        <f>Tabla9[[#This Row],[FTP_DIARIO]]*Tabla9[[#This Row],[SALDO_PROM_CORREGIDO]]*Tabla9[[#This Row],[DIAS]]</f>
        <v>1962.6090882086053</v>
      </c>
      <c r="AJ135" s="3">
        <f>Tabla9[[#This Row],[REAL_FTP_MONTO]]-Tabla9[[#This Row],[INT_REAL]]</f>
        <v>277.63928820860519</v>
      </c>
      <c r="AK135" s="3">
        <f>Tabla9[[#This Row],[FTP_DIARIO]]*Tabla9[[#This Row],[COMPROMISO]]*Tabla9[[#This Row],[DIAS]]</f>
        <v>367.18479514250555</v>
      </c>
      <c r="AL135" s="13">
        <f>((( (Tabla9[[#This Row],[TASA_INT]])+1)^(30/360) -1)*(36000/30))/36000</f>
        <v>1.0510247361579979E-4</v>
      </c>
      <c r="AM135" s="3">
        <f>Tabla9[[#This Row],[TEA DIARIA]]*Tabla9[[#This Row],[SALDO_PROM_CORREGIDO]]*Tabla9[[#This Row],[DIAS]]</f>
        <v>1685.3236242926491</v>
      </c>
      <c r="AN135" s="3">
        <f>Tabla9[[#This Row],[TEA DIARIA]]*Tabla9[[#This Row],[COMPROMISO]]*Tabla9[[#This Row],[DIAS]]</f>
        <v>315.30742084739933</v>
      </c>
      <c r="AO135" s="14">
        <f>+Tabla9[[#This Row],[PROYECTADO_FTP_MONTO]]-Tabla9[[#This Row],[PROYECCION_INTERES]]</f>
        <v>51.877374295106222</v>
      </c>
      <c r="AP135" s="3">
        <f>Tabla9[[#This Row],[PROYECCION_MARGEN(FTP - Int compromiso)]]-Tabla9[[#This Row],[REAL_MARGEN(FTP - Int)]]</f>
        <v>-225.76191391349897</v>
      </c>
    </row>
    <row r="136" spans="1:42" x14ac:dyDescent="0.35">
      <c r="A136">
        <v>202604</v>
      </c>
      <c r="B136" s="7">
        <v>46142</v>
      </c>
      <c r="C136">
        <v>10232391</v>
      </c>
      <c r="D136" t="s">
        <v>29</v>
      </c>
      <c r="E136" t="s">
        <v>30</v>
      </c>
      <c r="F136" t="s">
        <v>138</v>
      </c>
      <c r="G136" t="s">
        <v>30</v>
      </c>
      <c r="H136" t="s">
        <v>514</v>
      </c>
      <c r="I136" t="s">
        <v>244</v>
      </c>
      <c r="J136" t="str">
        <f t="shared" ref="J136" si="118">IF(I136="SOLES","4.4963","3.388")</f>
        <v>3.388</v>
      </c>
      <c r="K136" t="s">
        <v>32</v>
      </c>
      <c r="L136" t="s">
        <v>33</v>
      </c>
      <c r="M136" t="s">
        <v>34</v>
      </c>
      <c r="N136" t="s">
        <v>367</v>
      </c>
      <c r="O136" t="s">
        <v>44</v>
      </c>
      <c r="P136" s="3">
        <v>765794.12580000004</v>
      </c>
      <c r="Q136" s="3">
        <v>2158742.3725999999</v>
      </c>
      <c r="R136" s="4">
        <v>3.39E-2</v>
      </c>
      <c r="S136" s="3">
        <f>+Tabla9[[#This Row],[SAL_PROM_SOL]]</f>
        <v>765794.12580000004</v>
      </c>
      <c r="T136" s="4">
        <v>1E-3</v>
      </c>
      <c r="U136" s="4">
        <v>3.2899999999999999E-2</v>
      </c>
      <c r="V136" s="3">
        <v>2129.2201</v>
      </c>
      <c r="W136" s="3">
        <v>62.938000000000002</v>
      </c>
      <c r="X136" s="3">
        <v>2066.2820999999999</v>
      </c>
      <c r="Y136" s="3">
        <v>40.9373</v>
      </c>
      <c r="Z136" s="3">
        <v>2025.3448000000001</v>
      </c>
      <c r="AA136">
        <v>30</v>
      </c>
      <c r="AB136" t="b">
        <f t="shared" si="100"/>
        <v>1</v>
      </c>
      <c r="AC136" s="3">
        <v>1000000</v>
      </c>
      <c r="AD136" t="s">
        <v>46</v>
      </c>
      <c r="AE136" s="8">
        <v>46155.560022106481</v>
      </c>
      <c r="AF136" s="6">
        <f t="shared" ref="AF136" si="119">S136/AC136</f>
        <v>0.76579412580000006</v>
      </c>
      <c r="AG136" s="6" t="b">
        <f>+Tabla9[[#This Row],[CUMPLIMIENTO]]&lt;100%</f>
        <v>1</v>
      </c>
      <c r="AH136" s="12">
        <f>((( (Tabla9[[#This Row],[FTP_CIERRE_MES]]/100)+1)^(30/360) -1)*(36000/30))/36000</f>
        <v>9.2680593701059222E-5</v>
      </c>
      <c r="AI136" s="3">
        <f>Tabla9[[#This Row],[FTP_DIARIO]]*Tabla9[[#This Row],[SALDO_PROM_CORREGIDO]]*Tabla9[[#This Row],[DIAS]]</f>
        <v>2129.2276269578288</v>
      </c>
      <c r="AJ136" s="3">
        <f>Tabla9[[#This Row],[REAL_FTP_MONTO]]-Tabla9[[#This Row],[INT_REAL]]</f>
        <v>2066.2896269578287</v>
      </c>
      <c r="AK136" s="3">
        <f>Tabla9[[#This Row],[FTP_DIARIO]]*Tabla9[[#This Row],[COMPROMISO]]*Tabla9[[#This Row],[DIAS]]</f>
        <v>2780.4178110317766</v>
      </c>
      <c r="AL136" s="13">
        <f>((( (Tabla9[[#This Row],[TASA_INT]])+1)^(30/360) -1)*(36000/30))/36000</f>
        <v>2.7765054424403839E-6</v>
      </c>
      <c r="AM136" s="3">
        <f>Tabla9[[#This Row],[TEA DIARIA]]*Tabla9[[#This Row],[SALDO_PROM_CORREGIDO]]*Tabla9[[#This Row],[DIAS]]</f>
        <v>63.786946742177278</v>
      </c>
      <c r="AN136" s="3">
        <f>Tabla9[[#This Row],[TEA DIARIA]]*Tabla9[[#This Row],[COMPROMISO]]*Tabla9[[#This Row],[DIAS]]</f>
        <v>83.295163273211529</v>
      </c>
      <c r="AO136" s="14">
        <f>+Tabla9[[#This Row],[PROYECTADO_FTP_MONTO]]-Tabla9[[#This Row],[PROYECCION_INTERES]]</f>
        <v>2697.1226477585651</v>
      </c>
      <c r="AP136" s="3">
        <f>Tabla9[[#This Row],[PROYECCION_MARGEN(FTP - Int compromiso)]]-Tabla9[[#This Row],[REAL_MARGEN(FTP - Int)]]</f>
        <v>630.83302080073645</v>
      </c>
    </row>
    <row r="137" spans="1:42" x14ac:dyDescent="0.35">
      <c r="A137">
        <v>202604</v>
      </c>
      <c r="B137" s="7">
        <v>46142</v>
      </c>
      <c r="C137">
        <v>10271363</v>
      </c>
      <c r="D137" t="s">
        <v>36</v>
      </c>
      <c r="E137" t="s">
        <v>37</v>
      </c>
      <c r="F137" t="s">
        <v>139</v>
      </c>
      <c r="G137" t="s">
        <v>37</v>
      </c>
      <c r="H137" t="s">
        <v>498</v>
      </c>
      <c r="I137" t="s">
        <v>243</v>
      </c>
      <c r="J137" t="str">
        <f t="shared" ref="J137" si="120">IF(I137="SOLES","4.4963","3.388")</f>
        <v>4.4963</v>
      </c>
      <c r="K137" t="s">
        <v>32</v>
      </c>
      <c r="L137" t="s">
        <v>33</v>
      </c>
      <c r="M137" t="s">
        <v>31</v>
      </c>
      <c r="N137" t="s">
        <v>368</v>
      </c>
      <c r="O137" t="s">
        <v>44</v>
      </c>
      <c r="P137" s="3">
        <v>302410.18959999998</v>
      </c>
      <c r="Q137" s="3">
        <v>496725.84</v>
      </c>
      <c r="R137" s="4">
        <v>4.4999999999999998E-2</v>
      </c>
      <c r="S137" s="3">
        <f>+Tabla9[[#This Row],[SAL_PROM_SOL]]</f>
        <v>302410.18959999998</v>
      </c>
      <c r="T137" s="4">
        <v>1.06E-2</v>
      </c>
      <c r="U137" s="4">
        <v>3.44E-2</v>
      </c>
      <c r="V137" s="3">
        <v>1110.3985</v>
      </c>
      <c r="W137" s="3">
        <v>266.97019999999998</v>
      </c>
      <c r="X137" s="3">
        <v>843.42830000000004</v>
      </c>
      <c r="Y137" s="3">
        <v>43.9499</v>
      </c>
      <c r="Z137" s="3">
        <v>799.47839999999997</v>
      </c>
      <c r="AA137">
        <v>30</v>
      </c>
      <c r="AB137" t="b">
        <f t="shared" si="100"/>
        <v>1</v>
      </c>
      <c r="AC137" s="3">
        <v>15000000</v>
      </c>
      <c r="AD137" t="s">
        <v>46</v>
      </c>
      <c r="AE137" s="8">
        <v>46155.560022106481</v>
      </c>
      <c r="AF137" s="6">
        <f t="shared" ref="AF137" si="121">S137/AC137</f>
        <v>2.0160679306666665E-2</v>
      </c>
      <c r="AG137" s="6" t="b">
        <f>+Tabla9[[#This Row],[CUMPLIMIENTO]]&lt;100%</f>
        <v>1</v>
      </c>
      <c r="AH137" s="12">
        <f>((( (Tabla9[[#This Row],[FTP_CIERRE_MES]]/100)+1)^(30/360) -1)*(36000/30))/36000</f>
        <v>1.2239493171416853E-4</v>
      </c>
      <c r="AI137" s="3">
        <f>Tabla9[[#This Row],[FTP_DIARIO]]*Tabla9[[#This Row],[SALDO_PROM_CORREGIDO]]*Tabla9[[#This Row],[DIAS]]</f>
        <v>1110.4042351728226</v>
      </c>
      <c r="AJ137" s="3">
        <f>Tabla9[[#This Row],[REAL_FTP_MONTO]]-Tabla9[[#This Row],[INT_REAL]]</f>
        <v>843.43403517282263</v>
      </c>
      <c r="AK137" s="3">
        <f>Tabla9[[#This Row],[FTP_DIARIO]]*Tabla9[[#This Row],[COMPROMISO]]*Tabla9[[#This Row],[DIAS]]</f>
        <v>55077.719271375834</v>
      </c>
      <c r="AL137" s="13">
        <f>((( (Tabla9[[#This Row],[TASA_INT]])+1)^(30/360) -1)*(36000/30))/36000</f>
        <v>2.9302354865009168E-5</v>
      </c>
      <c r="AM137" s="3">
        <f>Tabla9[[#This Row],[TEA DIARIA]]*Tabla9[[#This Row],[SALDO_PROM_CORREGIDO]]*Tabla9[[#This Row],[DIAS]]</f>
        <v>265.83992071361712</v>
      </c>
      <c r="AN137" s="3">
        <f>Tabla9[[#This Row],[TEA DIARIA]]*Tabla9[[#This Row],[COMPROMISO]]*Tabla9[[#This Row],[DIAS]]</f>
        <v>13186.059689254127</v>
      </c>
      <c r="AO137" s="14">
        <f>+Tabla9[[#This Row],[PROYECTADO_FTP_MONTO]]-Tabla9[[#This Row],[PROYECCION_INTERES]]</f>
        <v>41891.659582121705</v>
      </c>
      <c r="AP137" s="3">
        <f>Tabla9[[#This Row],[PROYECCION_MARGEN(FTP - Int compromiso)]]-Tabla9[[#This Row],[REAL_MARGEN(FTP - Int)]]</f>
        <v>41048.225546948881</v>
      </c>
    </row>
    <row r="138" spans="1:42" x14ac:dyDescent="0.35">
      <c r="A138">
        <v>202604</v>
      </c>
      <c r="B138" s="7">
        <v>46142</v>
      </c>
      <c r="C138">
        <v>10288435</v>
      </c>
      <c r="D138" t="s">
        <v>36</v>
      </c>
      <c r="E138" t="s">
        <v>38</v>
      </c>
      <c r="F138" t="s">
        <v>140</v>
      </c>
      <c r="G138" t="s">
        <v>38</v>
      </c>
      <c r="H138" t="s">
        <v>501</v>
      </c>
      <c r="I138" t="s">
        <v>244</v>
      </c>
      <c r="J138" t="str">
        <f t="shared" ref="J138:J139" si="122">IF(I138="SOLES","4.4963","3.388")</f>
        <v>3.388</v>
      </c>
      <c r="K138" t="s">
        <v>32</v>
      </c>
      <c r="L138" t="s">
        <v>33</v>
      </c>
      <c r="M138" t="s">
        <v>34</v>
      </c>
      <c r="N138" t="s">
        <v>369</v>
      </c>
      <c r="O138" t="s">
        <v>44</v>
      </c>
      <c r="P138" s="3">
        <v>16059516.632999999</v>
      </c>
      <c r="Q138" s="3">
        <v>33573884.321400002</v>
      </c>
      <c r="R138" s="4">
        <v>3.39E-2</v>
      </c>
      <c r="S138" s="3">
        <f>+Tabla9[[#This Row],[SAL_PROM_SOL]]</f>
        <v>16059516.632999999</v>
      </c>
      <c r="T138" s="4">
        <v>3.2000000000000001E-2</v>
      </c>
      <c r="U138" s="4">
        <v>1.9E-3</v>
      </c>
      <c r="V138" s="3">
        <v>44652.163699999997</v>
      </c>
      <c r="W138" s="3">
        <v>42206.118799999997</v>
      </c>
      <c r="X138" s="3">
        <v>2446.0448999999999</v>
      </c>
      <c r="Y138" s="3">
        <v>0</v>
      </c>
      <c r="Z138" s="3">
        <v>2446.0448999999999</v>
      </c>
      <c r="AA138">
        <v>30</v>
      </c>
      <c r="AB138" t="b">
        <f t="shared" si="100"/>
        <v>1</v>
      </c>
      <c r="AC138" s="3">
        <v>15000000</v>
      </c>
      <c r="AD138" t="s">
        <v>46</v>
      </c>
      <c r="AE138" s="8">
        <v>46155.560022106481</v>
      </c>
      <c r="AF138" s="6">
        <f t="shared" ref="AF138:AF139" si="123">S138/AC138</f>
        <v>1.0706344422</v>
      </c>
      <c r="AG138" s="6" t="b">
        <f>+Tabla9[[#This Row],[CUMPLIMIENTO]]&lt;100%</f>
        <v>0</v>
      </c>
      <c r="AH138" s="12">
        <f>((( (Tabla9[[#This Row],[FTP_CIERRE_MES]]/100)+1)^(30/360) -1)*(36000/30))/36000</f>
        <v>9.2680593701059222E-5</v>
      </c>
      <c r="AI138" s="3">
        <f>Tabla9[[#This Row],[FTP_DIARIO]]*Tabla9[[#This Row],[SALDO_PROM_CORREGIDO]]*Tabla9[[#This Row],[DIAS]]</f>
        <v>44652.166082954267</v>
      </c>
      <c r="AJ138" s="3">
        <f>Tabla9[[#This Row],[REAL_FTP_MONTO]]-Tabla9[[#This Row],[INT_REAL]]</f>
        <v>2446.0472829542705</v>
      </c>
      <c r="AK138" s="3">
        <f>Tabla9[[#This Row],[FTP_DIARIO]]*Tabla9[[#This Row],[COMPROMISO]]*Tabla9[[#This Row],[DIAS]]</f>
        <v>41706.267165476653</v>
      </c>
      <c r="AL138" s="13">
        <f>((( (Tabla9[[#This Row],[TASA_INT]])+1)^(30/360) -1)*(36000/30))/36000</f>
        <v>8.7611231959483507E-5</v>
      </c>
      <c r="AM138" s="3">
        <f>Tabla9[[#This Row],[TEA DIARIA]]*Tabla9[[#This Row],[SALDO_PROM_CORREGIDO]]*Tabla9[[#This Row],[DIAS]]</f>
        <v>42209.821106728399</v>
      </c>
      <c r="AN138" s="3">
        <f>Tabla9[[#This Row],[TEA DIARIA]]*Tabla9[[#This Row],[COMPROMISO]]*Tabla9[[#This Row],[DIAS]]</f>
        <v>39425.054381767572</v>
      </c>
      <c r="AO138" s="14">
        <f>+Tabla9[[#This Row],[PROYECTADO_FTP_MONTO]]-Tabla9[[#This Row],[PROYECCION_INTERES]]</f>
        <v>2281.2127837090811</v>
      </c>
      <c r="AP138" s="3">
        <f>Tabla9[[#This Row],[PROYECCION_MARGEN(FTP - Int compromiso)]]-Tabla9[[#This Row],[REAL_MARGEN(FTP - Int)]]</f>
        <v>-164.83449924518936</v>
      </c>
    </row>
    <row r="139" spans="1:42" x14ac:dyDescent="0.35">
      <c r="A139">
        <v>202604</v>
      </c>
      <c r="B139" s="7">
        <v>46142</v>
      </c>
      <c r="C139">
        <v>10288435</v>
      </c>
      <c r="D139" t="s">
        <v>36</v>
      </c>
      <c r="E139" t="s">
        <v>38</v>
      </c>
      <c r="F139" t="s">
        <v>140</v>
      </c>
      <c r="G139" t="s">
        <v>38</v>
      </c>
      <c r="H139" t="s">
        <v>501</v>
      </c>
      <c r="I139" t="s">
        <v>243</v>
      </c>
      <c r="J139" t="str">
        <f t="shared" si="122"/>
        <v>4.4963</v>
      </c>
      <c r="K139" t="s">
        <v>32</v>
      </c>
      <c r="L139" t="s">
        <v>33</v>
      </c>
      <c r="M139" t="s">
        <v>31</v>
      </c>
      <c r="N139" t="s">
        <v>370</v>
      </c>
      <c r="O139" t="s">
        <v>44</v>
      </c>
      <c r="P139" s="3">
        <v>4013176.2694000001</v>
      </c>
      <c r="Q139" s="3">
        <v>472784.35</v>
      </c>
      <c r="R139" s="4">
        <v>4.4999999999999998E-2</v>
      </c>
      <c r="S139" s="3">
        <f>+Tabla9[[#This Row],[SAL_PROM_SOL]]</f>
        <v>4013176.2694000001</v>
      </c>
      <c r="T139" s="4">
        <v>2.6100000000000002E-2</v>
      </c>
      <c r="U139" s="4">
        <v>1.89E-2</v>
      </c>
      <c r="V139" s="3">
        <v>14735.7714</v>
      </c>
      <c r="W139" s="3">
        <v>8640.15</v>
      </c>
      <c r="X139" s="3">
        <v>6095.6214</v>
      </c>
      <c r="Y139" s="3">
        <v>42.720700000000001</v>
      </c>
      <c r="Z139" s="3">
        <v>6052.9007000000001</v>
      </c>
      <c r="AA139">
        <v>30</v>
      </c>
      <c r="AB139" t="b">
        <f t="shared" si="100"/>
        <v>1</v>
      </c>
      <c r="AC139" s="3">
        <v>5000000</v>
      </c>
      <c r="AD139" t="s">
        <v>46</v>
      </c>
      <c r="AE139" s="8">
        <v>46155.560022106481</v>
      </c>
      <c r="AF139" s="6">
        <f t="shared" si="123"/>
        <v>0.80263525388000001</v>
      </c>
      <c r="AG139" s="6" t="b">
        <f>+Tabla9[[#This Row],[CUMPLIMIENTO]]&lt;100%</f>
        <v>1</v>
      </c>
      <c r="AH139" s="12">
        <f>((( (Tabla9[[#This Row],[FTP_CIERRE_MES]]/100)+1)^(30/360) -1)*(36000/30))/36000</f>
        <v>1.2239493171416853E-4</v>
      </c>
      <c r="AI139" s="3">
        <f>Tabla9[[#This Row],[FTP_DIARIO]]*Tabla9[[#This Row],[SALDO_PROM_CORREGIDO]]*Tabla9[[#This Row],[DIAS]]</f>
        <v>14735.773063504039</v>
      </c>
      <c r="AJ139" s="3">
        <f>Tabla9[[#This Row],[REAL_FTP_MONTO]]-Tabla9[[#This Row],[INT_REAL]]</f>
        <v>6095.6230635040392</v>
      </c>
      <c r="AK139" s="3">
        <f>Tabla9[[#This Row],[FTP_DIARIO]]*Tabla9[[#This Row],[COMPROMISO]]*Tabla9[[#This Row],[DIAS]]</f>
        <v>18359.23975712528</v>
      </c>
      <c r="AL139" s="13">
        <f>((( (Tabla9[[#This Row],[TASA_INT]])+1)^(30/360) -1)*(36000/30))/36000</f>
        <v>7.1646910945818057E-5</v>
      </c>
      <c r="AM139" s="3">
        <f>Tabla9[[#This Row],[TEA DIARIA]]*Tabla9[[#This Row],[SALDO_PROM_CORREGIDO]]*Tabla9[[#This Row],[DIAS]]</f>
        <v>8625.9504835071639</v>
      </c>
      <c r="AN139" s="3">
        <f>Tabla9[[#This Row],[TEA DIARIA]]*Tabla9[[#This Row],[COMPROMISO]]*Tabla9[[#This Row],[DIAS]]</f>
        <v>10747.036641872708</v>
      </c>
      <c r="AO139" s="14">
        <f>+Tabla9[[#This Row],[PROYECTADO_FTP_MONTO]]-Tabla9[[#This Row],[PROYECCION_INTERES]]</f>
        <v>7612.2031152525724</v>
      </c>
      <c r="AP139" s="3">
        <f>Tabla9[[#This Row],[PROYECCION_MARGEN(FTP - Int compromiso)]]-Tabla9[[#This Row],[REAL_MARGEN(FTP - Int)]]</f>
        <v>1516.5800517485332</v>
      </c>
    </row>
    <row r="140" spans="1:42" x14ac:dyDescent="0.35">
      <c r="A140">
        <v>202604</v>
      </c>
      <c r="B140" s="7">
        <v>46142</v>
      </c>
      <c r="C140">
        <v>10382745</v>
      </c>
      <c r="D140" t="s">
        <v>42</v>
      </c>
      <c r="E140" t="s">
        <v>47</v>
      </c>
      <c r="F140" t="s">
        <v>141</v>
      </c>
      <c r="G140" t="s">
        <v>47</v>
      </c>
      <c r="H140" t="s">
        <v>494</v>
      </c>
      <c r="I140" t="s">
        <v>243</v>
      </c>
      <c r="J140" t="str">
        <f t="shared" ref="J140:J144" si="124">IF(I140="SOLES","4.4963","3.388")</f>
        <v>4.4963</v>
      </c>
      <c r="K140" t="s">
        <v>32</v>
      </c>
      <c r="L140" t="s">
        <v>33</v>
      </c>
      <c r="M140" t="s">
        <v>31</v>
      </c>
      <c r="N140" t="s">
        <v>371</v>
      </c>
      <c r="O140" t="s">
        <v>44</v>
      </c>
      <c r="P140" s="3">
        <v>152600.22940000001</v>
      </c>
      <c r="Q140" s="3">
        <v>164914.5</v>
      </c>
      <c r="R140" s="4">
        <v>4.4999999999999998E-2</v>
      </c>
      <c r="S140" s="3">
        <f>+Tabla9[[#This Row],[SAL_PROM_SOL]]</f>
        <v>152600.22940000001</v>
      </c>
      <c r="T140" s="4">
        <v>3.5900000000000001E-2</v>
      </c>
      <c r="U140" s="4">
        <v>9.1000000000000004E-3</v>
      </c>
      <c r="V140" s="3">
        <v>560.32069999999999</v>
      </c>
      <c r="W140" s="3">
        <v>448.83980000000003</v>
      </c>
      <c r="X140" s="3">
        <v>111.48090000000001</v>
      </c>
      <c r="Y140" s="3">
        <v>0</v>
      </c>
      <c r="Z140" s="3">
        <v>111.48090000000001</v>
      </c>
      <c r="AA140">
        <v>30</v>
      </c>
      <c r="AB140" t="b">
        <f t="shared" si="100"/>
        <v>1</v>
      </c>
      <c r="AC140" s="3">
        <v>18000000</v>
      </c>
      <c r="AD140" t="s">
        <v>46</v>
      </c>
      <c r="AE140" s="8">
        <v>46155.560022106481</v>
      </c>
      <c r="AF140" s="6">
        <f t="shared" ref="AF140:AF144" si="125">S140/AC140</f>
        <v>8.4777905222222227E-3</v>
      </c>
      <c r="AG140" s="6" t="b">
        <f>+Tabla9[[#This Row],[CUMPLIMIENTO]]&lt;100%</f>
        <v>1</v>
      </c>
      <c r="AH140" s="12">
        <f>((( (Tabla9[[#This Row],[FTP_CIERRE_MES]]/100)+1)^(30/360) -1)*(36000/30))/36000</f>
        <v>1.2239493171416853E-4</v>
      </c>
      <c r="AI140" s="3">
        <f>Tabla9[[#This Row],[FTP_DIARIO]]*Tabla9[[#This Row],[SALDO_PROM_CORREGIDO]]*Tabla9[[#This Row],[DIAS]]</f>
        <v>560.3248397093837</v>
      </c>
      <c r="AJ140" s="3">
        <f>Tabla9[[#This Row],[REAL_FTP_MONTO]]-Tabla9[[#This Row],[INT_REAL]]</f>
        <v>111.48503970938367</v>
      </c>
      <c r="AK140" s="3">
        <f>Tabla9[[#This Row],[FTP_DIARIO]]*Tabla9[[#This Row],[COMPROMISO]]*Tabla9[[#This Row],[DIAS]]</f>
        <v>66093.263125651007</v>
      </c>
      <c r="AL140" s="13">
        <f>((( (Tabla9[[#This Row],[TASA_INT]])+1)^(30/360) -1)*(36000/30))/36000</f>
        <v>9.8118052533731812E-5</v>
      </c>
      <c r="AM140" s="3">
        <f>Tabla9[[#This Row],[TEA DIARIA]]*Tabla9[[#This Row],[SALDO_PROM_CORREGIDO]]*Tabla9[[#This Row],[DIAS]]</f>
        <v>449.18511974786185</v>
      </c>
      <c r="AN140" s="3">
        <f>Tabla9[[#This Row],[TEA DIARIA]]*Tabla9[[#This Row],[COMPROMISO]]*Tabla9[[#This Row],[DIAS]]</f>
        <v>52983.74836821518</v>
      </c>
      <c r="AO140" s="14">
        <f>+Tabla9[[#This Row],[PROYECTADO_FTP_MONTO]]-Tabla9[[#This Row],[PROYECCION_INTERES]]</f>
        <v>13109.514757435827</v>
      </c>
      <c r="AP140" s="3">
        <f>Tabla9[[#This Row],[PROYECCION_MARGEN(FTP - Int compromiso)]]-Tabla9[[#This Row],[REAL_MARGEN(FTP - Int)]]</f>
        <v>12998.029717726444</v>
      </c>
    </row>
    <row r="141" spans="1:42" x14ac:dyDescent="0.35">
      <c r="A141">
        <v>202604</v>
      </c>
      <c r="B141" s="7">
        <v>46142</v>
      </c>
      <c r="C141">
        <v>10382745</v>
      </c>
      <c r="D141" t="s">
        <v>42</v>
      </c>
      <c r="E141" t="s">
        <v>47</v>
      </c>
      <c r="F141" t="s">
        <v>141</v>
      </c>
      <c r="G141" t="s">
        <v>47</v>
      </c>
      <c r="H141" t="s">
        <v>494</v>
      </c>
      <c r="I141" t="s">
        <v>243</v>
      </c>
      <c r="J141" t="str">
        <f t="shared" si="124"/>
        <v>4.4963</v>
      </c>
      <c r="K141" t="s">
        <v>32</v>
      </c>
      <c r="L141" t="s">
        <v>33</v>
      </c>
      <c r="M141" t="s">
        <v>31</v>
      </c>
      <c r="N141" t="s">
        <v>372</v>
      </c>
      <c r="O141" t="s">
        <v>44</v>
      </c>
      <c r="P141" s="3">
        <v>395306.2512</v>
      </c>
      <c r="Q141" s="3">
        <v>396377.91</v>
      </c>
      <c r="R141" s="4">
        <v>4.4999999999999998E-2</v>
      </c>
      <c r="S141" s="3">
        <f>+Tabla9[[#This Row],[SAL_PROM_SOL]]</f>
        <v>395306.2512</v>
      </c>
      <c r="T141" s="4">
        <v>3.5700000000000003E-2</v>
      </c>
      <c r="U141" s="4">
        <v>9.2999999999999992E-3</v>
      </c>
      <c r="V141" s="3">
        <v>1451.4999</v>
      </c>
      <c r="W141" s="3">
        <v>1158.6107999999999</v>
      </c>
      <c r="X141" s="3">
        <v>292.88909999999998</v>
      </c>
      <c r="Y141" s="3">
        <v>0</v>
      </c>
      <c r="Z141" s="3">
        <v>292.88909999999998</v>
      </c>
      <c r="AA141">
        <v>30</v>
      </c>
      <c r="AB141" t="b">
        <f t="shared" si="100"/>
        <v>1</v>
      </c>
      <c r="AC141" s="3">
        <v>18000000</v>
      </c>
      <c r="AD141" t="s">
        <v>46</v>
      </c>
      <c r="AE141" s="8">
        <v>46155.560022106481</v>
      </c>
      <c r="AF141" s="6">
        <f t="shared" si="125"/>
        <v>2.1961458400000002E-2</v>
      </c>
      <c r="AG141" s="6" t="b">
        <f>+Tabla9[[#This Row],[CUMPLIMIENTO]]&lt;100%</f>
        <v>1</v>
      </c>
      <c r="AH141" s="12">
        <f>((( (Tabla9[[#This Row],[FTP_CIERRE_MES]]/100)+1)^(30/360) -1)*(36000/30))/36000</f>
        <v>1.2239493171416853E-4</v>
      </c>
      <c r="AI141" s="3">
        <f>Tabla9[[#This Row],[FTP_DIARIO]]*Tabla9[[#This Row],[SALDO_PROM_CORREGIDO]]*Tabla9[[#This Row],[DIAS]]</f>
        <v>1451.5044486542386</v>
      </c>
      <c r="AJ141" s="3">
        <f>Tabla9[[#This Row],[REAL_FTP_MONTO]]-Tabla9[[#This Row],[INT_REAL]]</f>
        <v>292.89364865423863</v>
      </c>
      <c r="AK141" s="3">
        <f>Tabla9[[#This Row],[FTP_DIARIO]]*Tabla9[[#This Row],[COMPROMISO]]*Tabla9[[#This Row],[DIAS]]</f>
        <v>66093.263125651007</v>
      </c>
      <c r="AL141" s="13">
        <f>((( (Tabla9[[#This Row],[TASA_INT]])+1)^(30/360) -1)*(36000/30))/36000</f>
        <v>9.7580123999837143E-5</v>
      </c>
      <c r="AM141" s="3">
        <f>Tabla9[[#This Row],[TEA DIARIA]]*Tabla9[[#This Row],[SALDO_PROM_CORREGIDO]]*Tabla9[[#This Row],[DIAS]]</f>
        <v>1157.2209903002031</v>
      </c>
      <c r="AN141" s="3">
        <f>Tabla9[[#This Row],[TEA DIARIA]]*Tabla9[[#This Row],[COMPROMISO]]*Tabla9[[#This Row],[DIAS]]</f>
        <v>52693.266959912056</v>
      </c>
      <c r="AO141" s="14">
        <f>+Tabla9[[#This Row],[PROYECTADO_FTP_MONTO]]-Tabla9[[#This Row],[PROYECCION_INTERES]]</f>
        <v>13399.99616573895</v>
      </c>
      <c r="AP141" s="3">
        <f>Tabla9[[#This Row],[PROYECCION_MARGEN(FTP - Int compromiso)]]-Tabla9[[#This Row],[REAL_MARGEN(FTP - Int)]]</f>
        <v>13107.102517084712</v>
      </c>
    </row>
    <row r="142" spans="1:42" x14ac:dyDescent="0.35">
      <c r="A142">
        <v>202604</v>
      </c>
      <c r="B142" s="7">
        <v>46142</v>
      </c>
      <c r="C142">
        <v>10382745</v>
      </c>
      <c r="D142" t="s">
        <v>42</v>
      </c>
      <c r="E142" t="s">
        <v>47</v>
      </c>
      <c r="F142" t="s">
        <v>141</v>
      </c>
      <c r="G142" t="s">
        <v>47</v>
      </c>
      <c r="H142" t="s">
        <v>494</v>
      </c>
      <c r="I142" t="s">
        <v>243</v>
      </c>
      <c r="J142" t="str">
        <f t="shared" si="124"/>
        <v>4.4963</v>
      </c>
      <c r="K142" t="s">
        <v>32</v>
      </c>
      <c r="L142" t="s">
        <v>33</v>
      </c>
      <c r="M142" t="s">
        <v>31</v>
      </c>
      <c r="N142" t="s">
        <v>373</v>
      </c>
      <c r="O142" t="s">
        <v>44</v>
      </c>
      <c r="P142" s="3">
        <v>2849123.3099000002</v>
      </c>
      <c r="Q142" s="3">
        <v>2221012.0099999998</v>
      </c>
      <c r="R142" s="4">
        <v>4.4999999999999998E-2</v>
      </c>
      <c r="S142" s="3">
        <f>+Tabla9[[#This Row],[SAL_PROM_SOL]]</f>
        <v>2849123.3099000002</v>
      </c>
      <c r="T142" s="4">
        <v>3.56E-2</v>
      </c>
      <c r="U142" s="4">
        <v>9.4000000000000004E-3</v>
      </c>
      <c r="V142" s="3">
        <v>10461.5486</v>
      </c>
      <c r="W142" s="3">
        <v>8317.7508999999991</v>
      </c>
      <c r="X142" s="3">
        <v>2143.7977000000001</v>
      </c>
      <c r="Y142" s="3">
        <v>43.9499</v>
      </c>
      <c r="Z142" s="3">
        <v>2099.8478</v>
      </c>
      <c r="AA142">
        <v>30</v>
      </c>
      <c r="AB142" t="b">
        <f t="shared" si="100"/>
        <v>1</v>
      </c>
      <c r="AC142" s="3">
        <v>18000000</v>
      </c>
      <c r="AD142" t="s">
        <v>46</v>
      </c>
      <c r="AE142" s="8">
        <v>46155.560022106481</v>
      </c>
      <c r="AF142" s="6">
        <f t="shared" si="125"/>
        <v>0.15828462832777779</v>
      </c>
      <c r="AG142" s="6" t="b">
        <f>+Tabla9[[#This Row],[CUMPLIMIENTO]]&lt;100%</f>
        <v>1</v>
      </c>
      <c r="AH142" s="12">
        <f>((( (Tabla9[[#This Row],[FTP_CIERRE_MES]]/100)+1)^(30/360) -1)*(36000/30))/36000</f>
        <v>1.2239493171416853E-4</v>
      </c>
      <c r="AI142" s="3">
        <f>Tabla9[[#This Row],[FTP_DIARIO]]*Tabla9[[#This Row],[SALDO_PROM_CORREGIDO]]*Tabla9[[#This Row],[DIAS]]</f>
        <v>10461.54758881369</v>
      </c>
      <c r="AJ142" s="3">
        <f>Tabla9[[#This Row],[REAL_FTP_MONTO]]-Tabla9[[#This Row],[INT_REAL]]</f>
        <v>2143.7966888136907</v>
      </c>
      <c r="AK142" s="3">
        <f>Tabla9[[#This Row],[FTP_DIARIO]]*Tabla9[[#This Row],[COMPROMISO]]*Tabla9[[#This Row],[DIAS]]</f>
        <v>66093.263125651007</v>
      </c>
      <c r="AL142" s="13">
        <f>((( (Tabla9[[#This Row],[TASA_INT]])+1)^(30/360) -1)*(36000/30))/36000</f>
        <v>9.7311124024105727E-5</v>
      </c>
      <c r="AM142" s="3">
        <f>Tabla9[[#This Row],[TEA DIARIA]]*Tabla9[[#This Row],[SALDO_PROM_CORREGIDO]]*Tabla9[[#This Row],[DIAS]]</f>
        <v>8317.5417530894865</v>
      </c>
      <c r="AN142" s="3">
        <f>Tabla9[[#This Row],[TEA DIARIA]]*Tabla9[[#This Row],[COMPROMISO]]*Tabla9[[#This Row],[DIAS]]</f>
        <v>52548.006973017094</v>
      </c>
      <c r="AO142" s="14">
        <f>+Tabla9[[#This Row],[PROYECTADO_FTP_MONTO]]-Tabla9[[#This Row],[PROYECCION_INTERES]]</f>
        <v>13545.256152633912</v>
      </c>
      <c r="AP142" s="3">
        <f>Tabla9[[#This Row],[PROYECCION_MARGEN(FTP - Int compromiso)]]-Tabla9[[#This Row],[REAL_MARGEN(FTP - Int)]]</f>
        <v>11401.459463820222</v>
      </c>
    </row>
    <row r="143" spans="1:42" x14ac:dyDescent="0.35">
      <c r="A143">
        <v>202604</v>
      </c>
      <c r="B143" s="7">
        <v>46142</v>
      </c>
      <c r="C143">
        <v>10382745</v>
      </c>
      <c r="D143" t="s">
        <v>42</v>
      </c>
      <c r="E143" t="s">
        <v>47</v>
      </c>
      <c r="F143" t="s">
        <v>141</v>
      </c>
      <c r="G143" t="s">
        <v>47</v>
      </c>
      <c r="H143" t="s">
        <v>494</v>
      </c>
      <c r="I143" t="s">
        <v>243</v>
      </c>
      <c r="J143" t="str">
        <f t="shared" si="124"/>
        <v>4.4963</v>
      </c>
      <c r="K143" t="s">
        <v>32</v>
      </c>
      <c r="L143" t="s">
        <v>33</v>
      </c>
      <c r="M143" t="s">
        <v>31</v>
      </c>
      <c r="N143" t="s">
        <v>374</v>
      </c>
      <c r="O143" t="s">
        <v>44</v>
      </c>
      <c r="P143" s="3">
        <v>3129216.2006999999</v>
      </c>
      <c r="Q143" s="3">
        <v>3167548.37</v>
      </c>
      <c r="R143" s="4">
        <v>4.4999999999999998E-2</v>
      </c>
      <c r="S143" s="3">
        <f>+Tabla9[[#This Row],[SAL_PROM_SOL]]</f>
        <v>3129216.2006999999</v>
      </c>
      <c r="T143" s="4">
        <v>3.5799999999999998E-2</v>
      </c>
      <c r="U143" s="4">
        <v>9.1999999999999998E-3</v>
      </c>
      <c r="V143" s="3">
        <v>11490.0106</v>
      </c>
      <c r="W143" s="3">
        <v>9180.67</v>
      </c>
      <c r="X143" s="3">
        <v>2309.3406</v>
      </c>
      <c r="Y143" s="3">
        <v>0</v>
      </c>
      <c r="Z143" s="3">
        <v>2309.3406</v>
      </c>
      <c r="AA143">
        <v>30</v>
      </c>
      <c r="AB143" t="b">
        <f t="shared" si="100"/>
        <v>1</v>
      </c>
      <c r="AC143" s="3">
        <v>18000000</v>
      </c>
      <c r="AD143" t="s">
        <v>46</v>
      </c>
      <c r="AE143" s="8">
        <v>46155.560022106481</v>
      </c>
      <c r="AF143" s="6">
        <f t="shared" si="125"/>
        <v>0.17384534448333333</v>
      </c>
      <c r="AG143" s="6" t="b">
        <f>+Tabla9[[#This Row],[CUMPLIMIENTO]]&lt;100%</f>
        <v>1</v>
      </c>
      <c r="AH143" s="12">
        <f>((( (Tabla9[[#This Row],[FTP_CIERRE_MES]]/100)+1)^(30/360) -1)*(36000/30))/36000</f>
        <v>1.2239493171416853E-4</v>
      </c>
      <c r="AI143" s="3">
        <f>Tabla9[[#This Row],[FTP_DIARIO]]*Tabla9[[#This Row],[SALDO_PROM_CORREGIDO]]*Tabla9[[#This Row],[DIAS]]</f>
        <v>11490.006096106392</v>
      </c>
      <c r="AJ143" s="3">
        <f>Tabla9[[#This Row],[REAL_FTP_MONTO]]-Tabla9[[#This Row],[INT_REAL]]</f>
        <v>2309.3360961063918</v>
      </c>
      <c r="AK143" s="3">
        <f>Tabla9[[#This Row],[FTP_DIARIO]]*Tabla9[[#This Row],[COMPROMISO]]*Tabla9[[#This Row],[DIAS]]</f>
        <v>66093.263125651007</v>
      </c>
      <c r="AL143" s="13">
        <f>((( (Tabla9[[#This Row],[TASA_INT]])+1)^(30/360) -1)*(36000/30))/36000</f>
        <v>9.7849100168242073E-5</v>
      </c>
      <c r="AM143" s="3">
        <f>Tabla9[[#This Row],[TEA DIARIA]]*Tabla9[[#This Row],[SALDO_PROM_CORREGIDO]]*Tabla9[[#This Row],[DIAS]]</f>
        <v>9185.7296841114057</v>
      </c>
      <c r="AN143" s="3">
        <f>Tabla9[[#This Row],[TEA DIARIA]]*Tabla9[[#This Row],[COMPROMISO]]*Tabla9[[#This Row],[DIAS]]</f>
        <v>52838.514090850724</v>
      </c>
      <c r="AO143" s="14">
        <f>+Tabla9[[#This Row],[PROYECTADO_FTP_MONTO]]-Tabla9[[#This Row],[PROYECCION_INTERES]]</f>
        <v>13254.749034800283</v>
      </c>
      <c r="AP143" s="3">
        <f>Tabla9[[#This Row],[PROYECCION_MARGEN(FTP - Int compromiso)]]-Tabla9[[#This Row],[REAL_MARGEN(FTP - Int)]]</f>
        <v>10945.412938693891</v>
      </c>
    </row>
    <row r="144" spans="1:42" x14ac:dyDescent="0.35">
      <c r="A144">
        <v>202604</v>
      </c>
      <c r="B144" s="7">
        <v>46142</v>
      </c>
      <c r="C144">
        <v>10382745</v>
      </c>
      <c r="D144" t="s">
        <v>42</v>
      </c>
      <c r="E144" t="s">
        <v>47</v>
      </c>
      <c r="F144" t="s">
        <v>141</v>
      </c>
      <c r="G144" t="s">
        <v>47</v>
      </c>
      <c r="H144" t="s">
        <v>494</v>
      </c>
      <c r="I144" t="s">
        <v>243</v>
      </c>
      <c r="J144" t="str">
        <f t="shared" si="124"/>
        <v>4.4963</v>
      </c>
      <c r="K144" t="s">
        <v>32</v>
      </c>
      <c r="L144" t="s">
        <v>33</v>
      </c>
      <c r="M144" t="s">
        <v>31</v>
      </c>
      <c r="N144" t="s">
        <v>375</v>
      </c>
      <c r="O144" t="s">
        <v>44</v>
      </c>
      <c r="P144" s="3">
        <v>11973814.9803</v>
      </c>
      <c r="Q144" s="3">
        <v>12482440.77</v>
      </c>
      <c r="R144" s="4">
        <v>4.4999999999999998E-2</v>
      </c>
      <c r="S144" s="3">
        <f>+Tabla9[[#This Row],[SAL_PROM_SOL]]</f>
        <v>11973814.9803</v>
      </c>
      <c r="T144" s="4">
        <v>3.5799999999999998E-2</v>
      </c>
      <c r="U144" s="4">
        <v>9.1999999999999998E-3</v>
      </c>
      <c r="V144" s="3">
        <v>43966.028899999998</v>
      </c>
      <c r="W144" s="3">
        <v>35173.970300000001</v>
      </c>
      <c r="X144" s="3">
        <v>8792.0586000000003</v>
      </c>
      <c r="Y144" s="3">
        <v>0</v>
      </c>
      <c r="Z144" s="3">
        <v>8792.0586000000003</v>
      </c>
      <c r="AA144">
        <v>30</v>
      </c>
      <c r="AB144" t="b">
        <f t="shared" si="100"/>
        <v>1</v>
      </c>
      <c r="AC144" s="3">
        <v>18000000</v>
      </c>
      <c r="AD144" t="s">
        <v>46</v>
      </c>
      <c r="AE144" s="8">
        <v>46155.560022106481</v>
      </c>
      <c r="AF144" s="6">
        <f t="shared" si="125"/>
        <v>0.66521194335</v>
      </c>
      <c r="AG144" s="6" t="b">
        <f>+Tabla9[[#This Row],[CUMPLIMIENTO]]&lt;100%</f>
        <v>1</v>
      </c>
      <c r="AH144" s="12">
        <f>((( (Tabla9[[#This Row],[FTP_CIERRE_MES]]/100)+1)^(30/360) -1)*(36000/30))/36000</f>
        <v>1.2239493171416853E-4</v>
      </c>
      <c r="AI144" s="3">
        <f>Tabla9[[#This Row],[FTP_DIARIO]]*Tabla9[[#This Row],[SALDO_PROM_CORREGIDO]]*Tabla9[[#This Row],[DIAS]]</f>
        <v>43966.028006157198</v>
      </c>
      <c r="AJ144" s="3">
        <f>Tabla9[[#This Row],[REAL_FTP_MONTO]]-Tabla9[[#This Row],[INT_REAL]]</f>
        <v>8792.0577061571967</v>
      </c>
      <c r="AK144" s="3">
        <f>Tabla9[[#This Row],[FTP_DIARIO]]*Tabla9[[#This Row],[COMPROMISO]]*Tabla9[[#This Row],[DIAS]]</f>
        <v>66093.263125651007</v>
      </c>
      <c r="AL144" s="13">
        <f>((( (Tabla9[[#This Row],[TASA_INT]])+1)^(30/360) -1)*(36000/30))/36000</f>
        <v>9.7849100168242073E-5</v>
      </c>
      <c r="AM144" s="3">
        <f>Tabla9[[#This Row],[TEA DIARIA]]*Tabla9[[#This Row],[SALDO_PROM_CORREGIDO]]*Tabla9[[#This Row],[DIAS]]</f>
        <v>35148.810642101169</v>
      </c>
      <c r="AN144" s="3">
        <f>Tabla9[[#This Row],[TEA DIARIA]]*Tabla9[[#This Row],[COMPROMISO]]*Tabla9[[#This Row],[DIAS]]</f>
        <v>52838.514090850724</v>
      </c>
      <c r="AO144" s="14">
        <f>+Tabla9[[#This Row],[PROYECTADO_FTP_MONTO]]-Tabla9[[#This Row],[PROYECCION_INTERES]]</f>
        <v>13254.749034800283</v>
      </c>
      <c r="AP144" s="3">
        <f>Tabla9[[#This Row],[PROYECCION_MARGEN(FTP - Int compromiso)]]-Tabla9[[#This Row],[REAL_MARGEN(FTP - Int)]]</f>
        <v>4462.6913286430863</v>
      </c>
    </row>
    <row r="145" spans="1:42" x14ac:dyDescent="0.35">
      <c r="A145">
        <v>202604</v>
      </c>
      <c r="B145" s="7">
        <v>46142</v>
      </c>
      <c r="C145">
        <v>10402839</v>
      </c>
      <c r="D145" t="s">
        <v>36</v>
      </c>
      <c r="E145" t="s">
        <v>38</v>
      </c>
      <c r="F145" t="s">
        <v>142</v>
      </c>
      <c r="G145" t="s">
        <v>38</v>
      </c>
      <c r="H145" t="s">
        <v>492</v>
      </c>
      <c r="I145" t="s">
        <v>243</v>
      </c>
      <c r="J145" t="str">
        <f t="shared" ref="J145" si="126">IF(I145="SOLES","4.4963","3.388")</f>
        <v>4.4963</v>
      </c>
      <c r="K145" t="s">
        <v>32</v>
      </c>
      <c r="L145" t="s">
        <v>33</v>
      </c>
      <c r="M145" t="s">
        <v>31</v>
      </c>
      <c r="N145" t="s">
        <v>286</v>
      </c>
      <c r="O145" t="s">
        <v>44</v>
      </c>
      <c r="P145" s="3">
        <v>11717365.738500001</v>
      </c>
      <c r="Q145" s="3">
        <v>11762286.73</v>
      </c>
      <c r="R145" s="4">
        <v>4.4999999999999998E-2</v>
      </c>
      <c r="S145" s="3">
        <f>+Tabla9[[#This Row],[SAL_PROM_SOL]]</f>
        <v>11717365.738500001</v>
      </c>
      <c r="T145" s="4">
        <v>4.2500000000000003E-2</v>
      </c>
      <c r="U145" s="4">
        <v>2.5000000000000001E-3</v>
      </c>
      <c r="V145" s="3">
        <v>43024.3891</v>
      </c>
      <c r="W145" s="3">
        <v>40758.320099999997</v>
      </c>
      <c r="X145" s="3">
        <v>2266.069</v>
      </c>
      <c r="Y145" s="3">
        <v>43.9499</v>
      </c>
      <c r="Z145" s="3">
        <v>2222.1190999999999</v>
      </c>
      <c r="AA145">
        <v>30</v>
      </c>
      <c r="AB145" t="b">
        <f t="shared" si="100"/>
        <v>1</v>
      </c>
      <c r="AC145" s="3">
        <v>10000000</v>
      </c>
      <c r="AD145" t="s">
        <v>46</v>
      </c>
      <c r="AE145" s="8">
        <v>46155.560022106481</v>
      </c>
      <c r="AF145" s="6">
        <f t="shared" ref="AF145" si="127">S145/AC145</f>
        <v>1.1717365738500001</v>
      </c>
      <c r="AG145" s="6" t="b">
        <f>+Tabla9[[#This Row],[CUMPLIMIENTO]]&lt;100%</f>
        <v>0</v>
      </c>
      <c r="AH145" s="12">
        <f>((( (Tabla9[[#This Row],[FTP_CIERRE_MES]]/100)+1)^(30/360) -1)*(36000/30))/36000</f>
        <v>1.2239493171416853E-4</v>
      </c>
      <c r="AI145" s="3">
        <f>Tabla9[[#This Row],[FTP_DIARIO]]*Tabla9[[#This Row],[SALDO_PROM_CORREGIDO]]*Tabla9[[#This Row],[DIAS]]</f>
        <v>43024.385383009365</v>
      </c>
      <c r="AJ145" s="3">
        <f>Tabla9[[#This Row],[REAL_FTP_MONTO]]-Tabla9[[#This Row],[INT_REAL]]</f>
        <v>2266.0652830093677</v>
      </c>
      <c r="AK145" s="3">
        <f>Tabla9[[#This Row],[FTP_DIARIO]]*Tabla9[[#This Row],[COMPROMISO]]*Tabla9[[#This Row],[DIAS]]</f>
        <v>36718.479514250561</v>
      </c>
      <c r="AL145" s="13">
        <f>((( (Tabla9[[#This Row],[TASA_INT]])+1)^(30/360) -1)*(36000/30))/36000</f>
        <v>1.158165001165834E-4</v>
      </c>
      <c r="AM145" s="3">
        <f>Tabla9[[#This Row],[TEA DIARIA]]*Tabla9[[#This Row],[SALDO_PROM_CORREGIDO]]*Tabla9[[#This Row],[DIAS]]</f>
        <v>40711.928712571076</v>
      </c>
      <c r="AN145" s="3">
        <f>Tabla9[[#This Row],[TEA DIARIA]]*Tabla9[[#This Row],[COMPROMISO]]*Tabla9[[#This Row],[DIAS]]</f>
        <v>34744.950034975016</v>
      </c>
      <c r="AO145" s="14">
        <f>+Tabla9[[#This Row],[PROYECTADO_FTP_MONTO]]-Tabla9[[#This Row],[PROYECCION_INTERES]]</f>
        <v>1973.5294792755449</v>
      </c>
      <c r="AP145" s="3">
        <f>Tabla9[[#This Row],[PROYECCION_MARGEN(FTP - Int compromiso)]]-Tabla9[[#This Row],[REAL_MARGEN(FTP - Int)]]</f>
        <v>-292.53580373382283</v>
      </c>
    </row>
    <row r="146" spans="1:42" x14ac:dyDescent="0.35">
      <c r="A146">
        <v>202604</v>
      </c>
      <c r="B146" s="7">
        <v>46142</v>
      </c>
      <c r="C146">
        <v>10502748</v>
      </c>
      <c r="D146" t="s">
        <v>29</v>
      </c>
      <c r="E146" t="s">
        <v>40</v>
      </c>
      <c r="F146" t="s">
        <v>143</v>
      </c>
      <c r="G146" t="s">
        <v>40</v>
      </c>
      <c r="H146" t="s">
        <v>515</v>
      </c>
      <c r="I146" t="s">
        <v>243</v>
      </c>
      <c r="J146" t="str">
        <f t="shared" ref="J146" si="128">IF(I146="SOLES","4.4963","3.388")</f>
        <v>4.4963</v>
      </c>
      <c r="K146" t="s">
        <v>32</v>
      </c>
      <c r="L146" t="s">
        <v>33</v>
      </c>
      <c r="M146" t="s">
        <v>31</v>
      </c>
      <c r="N146" t="s">
        <v>376</v>
      </c>
      <c r="O146" t="s">
        <v>44</v>
      </c>
      <c r="P146" s="3">
        <v>3117802.821</v>
      </c>
      <c r="Q146" s="3">
        <v>2533670.02</v>
      </c>
      <c r="R146" s="4">
        <v>4.4999999999999998E-2</v>
      </c>
      <c r="S146" s="3">
        <f>+Tabla9[[#This Row],[SAL_PROM_SOL]]</f>
        <v>3117802.821</v>
      </c>
      <c r="T146" s="4">
        <v>2.4E-2</v>
      </c>
      <c r="U146" s="4">
        <v>2.1000000000000001E-2</v>
      </c>
      <c r="V146" s="3">
        <v>11448.098900000001</v>
      </c>
      <c r="W146" s="3">
        <v>6173.2782999999999</v>
      </c>
      <c r="X146" s="3">
        <v>5274.8206</v>
      </c>
      <c r="Y146" s="3">
        <v>43.9499</v>
      </c>
      <c r="Z146" s="3">
        <v>5230.8707000000004</v>
      </c>
      <c r="AA146">
        <v>30</v>
      </c>
      <c r="AB146" t="b">
        <f t="shared" si="100"/>
        <v>1</v>
      </c>
      <c r="AC146" s="3">
        <v>4000000</v>
      </c>
      <c r="AD146" t="s">
        <v>46</v>
      </c>
      <c r="AE146" s="8">
        <v>46155.560022106481</v>
      </c>
      <c r="AF146" s="6">
        <f t="shared" ref="AF146" si="129">S146/AC146</f>
        <v>0.77945070525000004</v>
      </c>
      <c r="AG146" s="6" t="b">
        <f>+Tabla9[[#This Row],[CUMPLIMIENTO]]&lt;100%</f>
        <v>1</v>
      </c>
      <c r="AH146" s="12">
        <f>((( (Tabla9[[#This Row],[FTP_CIERRE_MES]]/100)+1)^(30/360) -1)*(36000/30))/36000</f>
        <v>1.2239493171416853E-4</v>
      </c>
      <c r="AI146" s="3">
        <f>Tabla9[[#This Row],[FTP_DIARIO]]*Tabla9[[#This Row],[SALDO_PROM_CORREGIDO]]*Tabla9[[#This Row],[DIAS]]</f>
        <v>11448.097901236109</v>
      </c>
      <c r="AJ146" s="3">
        <f>Tabla9[[#This Row],[REAL_FTP_MONTO]]-Tabla9[[#This Row],[INT_REAL]]</f>
        <v>5274.8196012361095</v>
      </c>
      <c r="AK146" s="3">
        <f>Tabla9[[#This Row],[FTP_DIARIO]]*Tabla9[[#This Row],[COMPROMISO]]*Tabla9[[#This Row],[DIAS]]</f>
        <v>14687.391805700223</v>
      </c>
      <c r="AL146" s="13">
        <f>((( (Tabla9[[#This Row],[TASA_INT]])+1)^(30/360) -1)*(36000/30))/36000</f>
        <v>6.59443846281101E-5</v>
      </c>
      <c r="AM146" s="3">
        <f>Tabla9[[#This Row],[TEA DIARIA]]*Tabla9[[#This Row],[SALDO_PROM_CORREGIDO]]*Tabla9[[#This Row],[DIAS]]</f>
        <v>6168.0476526789207</v>
      </c>
      <c r="AN146" s="3">
        <f>Tabla9[[#This Row],[TEA DIARIA]]*Tabla9[[#This Row],[COMPROMISO]]*Tabla9[[#This Row],[DIAS]]</f>
        <v>7913.3261553732118</v>
      </c>
      <c r="AO146" s="14">
        <f>+Tabla9[[#This Row],[PROYECTADO_FTP_MONTO]]-Tabla9[[#This Row],[PROYECCION_INTERES]]</f>
        <v>6774.0656503270111</v>
      </c>
      <c r="AP146" s="3">
        <f>Tabla9[[#This Row],[PROYECCION_MARGEN(FTP - Int compromiso)]]-Tabla9[[#This Row],[REAL_MARGEN(FTP - Int)]]</f>
        <v>1499.2460490909016</v>
      </c>
    </row>
    <row r="147" spans="1:42" x14ac:dyDescent="0.35">
      <c r="A147">
        <v>202604</v>
      </c>
      <c r="B147" s="7">
        <v>46142</v>
      </c>
      <c r="C147">
        <v>10526170</v>
      </c>
      <c r="D147" t="s">
        <v>36</v>
      </c>
      <c r="E147" t="s">
        <v>37</v>
      </c>
      <c r="F147" t="s">
        <v>51</v>
      </c>
      <c r="G147" t="s">
        <v>37</v>
      </c>
      <c r="H147" t="s">
        <v>498</v>
      </c>
      <c r="I147" t="s">
        <v>244</v>
      </c>
      <c r="J147" t="str">
        <f t="shared" ref="J147:J149" si="130">IF(I147="SOLES","4.4963","3.388")</f>
        <v>3.388</v>
      </c>
      <c r="K147" t="s">
        <v>32</v>
      </c>
      <c r="L147" t="s">
        <v>33</v>
      </c>
      <c r="M147" t="s">
        <v>34</v>
      </c>
      <c r="N147" t="s">
        <v>377</v>
      </c>
      <c r="O147" t="s">
        <v>44</v>
      </c>
      <c r="P147" s="3">
        <v>28696872.987599999</v>
      </c>
      <c r="Q147" s="3">
        <v>39035851.229999997</v>
      </c>
      <c r="R147" s="4">
        <v>3.39E-2</v>
      </c>
      <c r="S147" s="3">
        <f>+Tabla9[[#This Row],[SAL_PROM_SOL]]</f>
        <v>28696872.987599999</v>
      </c>
      <c r="T147" s="4">
        <v>1.4E-2</v>
      </c>
      <c r="U147" s="4">
        <v>1.9900000000000001E-2</v>
      </c>
      <c r="V147" s="3">
        <v>79789.286999999997</v>
      </c>
      <c r="W147" s="3">
        <v>33265.474099999999</v>
      </c>
      <c r="X147" s="3">
        <v>46523.812899999997</v>
      </c>
      <c r="Y147" s="3">
        <v>0</v>
      </c>
      <c r="Z147" s="3">
        <v>46523.812899999997</v>
      </c>
      <c r="AA147">
        <v>30</v>
      </c>
      <c r="AB147" t="b">
        <f t="shared" si="100"/>
        <v>1</v>
      </c>
      <c r="AC147" s="3">
        <v>3000000</v>
      </c>
      <c r="AD147" t="s">
        <v>46</v>
      </c>
      <c r="AE147" s="8">
        <v>46155.560022106481</v>
      </c>
      <c r="AF147" s="6">
        <f t="shared" ref="AF147:AF149" si="131">S147/AC147</f>
        <v>9.5656243292000003</v>
      </c>
      <c r="AG147" s="6" t="b">
        <f>+Tabla9[[#This Row],[CUMPLIMIENTO]]&lt;100%</f>
        <v>0</v>
      </c>
      <c r="AH147" s="12">
        <f>((( (Tabla9[[#This Row],[FTP_CIERRE_MES]]/100)+1)^(30/360) -1)*(36000/30))/36000</f>
        <v>9.2680593701059222E-5</v>
      </c>
      <c r="AI147" s="3">
        <f>Tabla9[[#This Row],[FTP_DIARIO]]*Tabla9[[#This Row],[SALDO_PROM_CORREGIDO]]*Tabla9[[#This Row],[DIAS]]</f>
        <v>79789.296775639712</v>
      </c>
      <c r="AJ147" s="3">
        <f>Tabla9[[#This Row],[REAL_FTP_MONTO]]-Tabla9[[#This Row],[INT_REAL]]</f>
        <v>46523.822675639713</v>
      </c>
      <c r="AK147" s="3">
        <f>Tabla9[[#This Row],[FTP_DIARIO]]*Tabla9[[#This Row],[COMPROMISO]]*Tabla9[[#This Row],[DIAS]]</f>
        <v>8341.2534330953295</v>
      </c>
      <c r="AL147" s="13">
        <f>((( (Tabla9[[#This Row],[TASA_INT]])+1)^(30/360) -1)*(36000/30))/36000</f>
        <v>3.864156128436195E-5</v>
      </c>
      <c r="AM147" s="3">
        <f>Tabla9[[#This Row],[TEA DIARIA]]*Tabla9[[#This Row],[SALDO_PROM_CORREGIDO]]*Tabla9[[#This Row],[DIAS]]</f>
        <v>33266.759286596891</v>
      </c>
      <c r="AN147" s="3">
        <f>Tabla9[[#This Row],[TEA DIARIA]]*Tabla9[[#This Row],[COMPROMISO]]*Tabla9[[#This Row],[DIAS]]</f>
        <v>3477.7405155925758</v>
      </c>
      <c r="AO147" s="14">
        <f>+Tabla9[[#This Row],[PROYECTADO_FTP_MONTO]]-Tabla9[[#This Row],[PROYECCION_INTERES]]</f>
        <v>4863.5129175027541</v>
      </c>
      <c r="AP147" s="3">
        <f>Tabla9[[#This Row],[PROYECCION_MARGEN(FTP - Int compromiso)]]-Tabla9[[#This Row],[REAL_MARGEN(FTP - Int)]]</f>
        <v>-41660.309758136958</v>
      </c>
    </row>
    <row r="148" spans="1:42" x14ac:dyDescent="0.35">
      <c r="A148">
        <v>202604</v>
      </c>
      <c r="B148" s="7">
        <v>46142</v>
      </c>
      <c r="C148">
        <v>10526170</v>
      </c>
      <c r="D148" t="s">
        <v>36</v>
      </c>
      <c r="E148" t="s">
        <v>37</v>
      </c>
      <c r="F148" t="s">
        <v>51</v>
      </c>
      <c r="G148" t="s">
        <v>37</v>
      </c>
      <c r="H148" t="s">
        <v>498</v>
      </c>
      <c r="I148" t="s">
        <v>243</v>
      </c>
      <c r="J148" t="str">
        <f t="shared" si="130"/>
        <v>4.4963</v>
      </c>
      <c r="K148" t="s">
        <v>32</v>
      </c>
      <c r="L148" t="s">
        <v>33</v>
      </c>
      <c r="M148" t="s">
        <v>31</v>
      </c>
      <c r="N148" t="s">
        <v>378</v>
      </c>
      <c r="O148" t="s">
        <v>44</v>
      </c>
      <c r="P148" s="3">
        <v>35413865.2588</v>
      </c>
      <c r="Q148" s="3">
        <v>47967482.520000003</v>
      </c>
      <c r="R148" s="4">
        <v>4.4999999999999998E-2</v>
      </c>
      <c r="S148" s="3">
        <f>+Tabla9[[#This Row],[SAL_PROM_SOL]]</f>
        <v>35413865.2588</v>
      </c>
      <c r="T148" s="4">
        <v>2.3E-2</v>
      </c>
      <c r="U148" s="4">
        <v>2.1999999999999999E-2</v>
      </c>
      <c r="V148" s="3">
        <v>130034.3288</v>
      </c>
      <c r="W148" s="3">
        <v>67174.131599999993</v>
      </c>
      <c r="X148" s="3">
        <v>62860.197200000002</v>
      </c>
      <c r="Y148" s="3">
        <v>0</v>
      </c>
      <c r="Z148" s="3">
        <v>62860.197200000002</v>
      </c>
      <c r="AA148">
        <v>30</v>
      </c>
      <c r="AB148" t="b">
        <f t="shared" si="100"/>
        <v>1</v>
      </c>
      <c r="AC148" s="3">
        <v>25000000</v>
      </c>
      <c r="AD148" t="s">
        <v>46</v>
      </c>
      <c r="AE148" s="8">
        <v>46155.560022106481</v>
      </c>
      <c r="AF148" s="6">
        <f t="shared" si="131"/>
        <v>1.4165546103519999</v>
      </c>
      <c r="AG148" s="6" t="b">
        <f>+Tabla9[[#This Row],[CUMPLIMIENTO]]&lt;100%</f>
        <v>0</v>
      </c>
      <c r="AH148" s="12">
        <f>((( (Tabla9[[#This Row],[FTP_CIERRE_MES]]/100)+1)^(30/360) -1)*(36000/30))/36000</f>
        <v>1.2239493171416853E-4</v>
      </c>
      <c r="AI148" s="3">
        <f>Tabla9[[#This Row],[FTP_DIARIO]]*Tabla9[[#This Row],[SALDO_PROM_CORREGIDO]]*Tabla9[[#This Row],[DIAS]]</f>
        <v>130034.32860256774</v>
      </c>
      <c r="AJ148" s="3">
        <f>Tabla9[[#This Row],[REAL_FTP_MONTO]]-Tabla9[[#This Row],[INT_REAL]]</f>
        <v>62860.197002567744</v>
      </c>
      <c r="AK148" s="3">
        <f>Tabla9[[#This Row],[FTP_DIARIO]]*Tabla9[[#This Row],[COMPROMISO]]*Tabla9[[#This Row],[DIAS]]</f>
        <v>91796.198785626388</v>
      </c>
      <c r="AL148" s="13">
        <f>((( (Tabla9[[#This Row],[TASA_INT]])+1)^(30/360) -1)*(36000/30))/36000</f>
        <v>6.3225127118945082E-5</v>
      </c>
      <c r="AM148" s="3">
        <f>Tabla9[[#This Row],[TEA DIARIA]]*Tabla9[[#This Row],[SALDO_PROM_CORREGIDO]]*Tabla9[[#This Row],[DIAS]]</f>
        <v>67171.3839828247</v>
      </c>
      <c r="AN148" s="3">
        <f>Tabla9[[#This Row],[TEA DIARIA]]*Tabla9[[#This Row],[COMPROMISO]]*Tabla9[[#This Row],[DIAS]]</f>
        <v>47418.845339208812</v>
      </c>
      <c r="AO148" s="14">
        <f>+Tabla9[[#This Row],[PROYECTADO_FTP_MONTO]]-Tabla9[[#This Row],[PROYECCION_INTERES]]</f>
        <v>44377.353446417575</v>
      </c>
      <c r="AP148" s="3">
        <f>Tabla9[[#This Row],[PROYECCION_MARGEN(FTP - Int compromiso)]]-Tabla9[[#This Row],[REAL_MARGEN(FTP - Int)]]</f>
        <v>-18482.843556150168</v>
      </c>
    </row>
    <row r="149" spans="1:42" x14ac:dyDescent="0.35">
      <c r="A149">
        <v>202604</v>
      </c>
      <c r="B149" s="7">
        <v>46142</v>
      </c>
      <c r="C149">
        <v>10526503</v>
      </c>
      <c r="D149" t="s">
        <v>36</v>
      </c>
      <c r="E149" t="s">
        <v>37</v>
      </c>
      <c r="F149" t="s">
        <v>144</v>
      </c>
      <c r="G149" t="s">
        <v>37</v>
      </c>
      <c r="H149" t="s">
        <v>498</v>
      </c>
      <c r="I149" t="s">
        <v>243</v>
      </c>
      <c r="J149" t="str">
        <f t="shared" si="130"/>
        <v>4.4963</v>
      </c>
      <c r="K149" t="s">
        <v>32</v>
      </c>
      <c r="L149" t="s">
        <v>33</v>
      </c>
      <c r="M149" t="s">
        <v>31</v>
      </c>
      <c r="N149" t="s">
        <v>375</v>
      </c>
      <c r="O149" t="s">
        <v>44</v>
      </c>
      <c r="P149" s="3">
        <v>13580945.0689</v>
      </c>
      <c r="Q149" s="3">
        <v>12196438.17</v>
      </c>
      <c r="R149" s="4">
        <v>4.4999999999999998E-2</v>
      </c>
      <c r="S149" s="3">
        <f>+Tabla9[[#This Row],[SAL_PROM_SOL]]</f>
        <v>13580945.0689</v>
      </c>
      <c r="T149" s="4">
        <v>1.8499999999999999E-2</v>
      </c>
      <c r="U149" s="4">
        <v>2.6499999999999999E-2</v>
      </c>
      <c r="V149" s="3">
        <v>49867.169099999999</v>
      </c>
      <c r="W149" s="3">
        <v>20760.7804</v>
      </c>
      <c r="X149" s="3">
        <v>29106.3887</v>
      </c>
      <c r="Y149" s="3">
        <v>0</v>
      </c>
      <c r="Z149" s="3">
        <v>29106.3887</v>
      </c>
      <c r="AA149">
        <v>30</v>
      </c>
      <c r="AB149" t="b">
        <f t="shared" si="100"/>
        <v>1</v>
      </c>
      <c r="AC149" s="3">
        <v>5000000</v>
      </c>
      <c r="AD149" t="s">
        <v>46</v>
      </c>
      <c r="AE149" s="8">
        <v>46155.560022106481</v>
      </c>
      <c r="AF149" s="6">
        <f t="shared" si="131"/>
        <v>2.7161890137800002</v>
      </c>
      <c r="AG149" s="6" t="b">
        <f>+Tabla9[[#This Row],[CUMPLIMIENTO]]&lt;100%</f>
        <v>0</v>
      </c>
      <c r="AH149" s="12">
        <f>((( (Tabla9[[#This Row],[FTP_CIERRE_MES]]/100)+1)^(30/360) -1)*(36000/30))/36000</f>
        <v>1.2239493171416853E-4</v>
      </c>
      <c r="AI149" s="3">
        <f>Tabla9[[#This Row],[FTP_DIARIO]]*Tabla9[[#This Row],[SALDO_PROM_CORREGIDO]]*Tabla9[[#This Row],[DIAS]]</f>
        <v>49867.16532965668</v>
      </c>
      <c r="AJ149" s="3">
        <f>Tabla9[[#This Row],[REAL_FTP_MONTO]]-Tabla9[[#This Row],[INT_REAL]]</f>
        <v>29106.38492965668</v>
      </c>
      <c r="AK149" s="3">
        <f>Tabla9[[#This Row],[FTP_DIARIO]]*Tabla9[[#This Row],[COMPROMISO]]*Tabla9[[#This Row],[DIAS]]</f>
        <v>18359.23975712528</v>
      </c>
      <c r="AL149" s="13">
        <f>((( (Tabla9[[#This Row],[TASA_INT]])+1)^(30/360) -1)*(36000/30))/36000</f>
        <v>5.0958235598708154E-5</v>
      </c>
      <c r="AM149" s="3">
        <f>Tabla9[[#This Row],[TEA DIARIA]]*Tabla9[[#This Row],[SALDO_PROM_CORREGIDO]]*Tabla9[[#This Row],[DIAS]]</f>
        <v>20761.829954223598</v>
      </c>
      <c r="AN149" s="3">
        <f>Tabla9[[#This Row],[TEA DIARIA]]*Tabla9[[#This Row],[COMPROMISO]]*Tabla9[[#This Row],[DIAS]]</f>
        <v>7643.7353398062232</v>
      </c>
      <c r="AO149" s="14">
        <f>+Tabla9[[#This Row],[PROYECTADO_FTP_MONTO]]-Tabla9[[#This Row],[PROYECCION_INTERES]]</f>
        <v>10715.504417319058</v>
      </c>
      <c r="AP149" s="3">
        <f>Tabla9[[#This Row],[PROYECCION_MARGEN(FTP - Int compromiso)]]-Tabla9[[#This Row],[REAL_MARGEN(FTP - Int)]]</f>
        <v>-18390.880512337622</v>
      </c>
    </row>
    <row r="150" spans="1:42" x14ac:dyDescent="0.35">
      <c r="A150">
        <v>202604</v>
      </c>
      <c r="B150" s="7">
        <v>46142</v>
      </c>
      <c r="C150">
        <v>10667778</v>
      </c>
      <c r="D150" t="s">
        <v>29</v>
      </c>
      <c r="E150" t="s">
        <v>30</v>
      </c>
      <c r="F150" t="s">
        <v>145</v>
      </c>
      <c r="G150" t="s">
        <v>30</v>
      </c>
      <c r="H150" t="s">
        <v>516</v>
      </c>
      <c r="I150" t="s">
        <v>244</v>
      </c>
      <c r="J150" t="str">
        <f t="shared" ref="J150" si="132">IF(I150="SOLES","4.4963","3.388")</f>
        <v>3.388</v>
      </c>
      <c r="K150" t="s">
        <v>32</v>
      </c>
      <c r="L150" t="s">
        <v>39</v>
      </c>
      <c r="M150" t="s">
        <v>34</v>
      </c>
      <c r="N150" t="s">
        <v>379</v>
      </c>
      <c r="O150" t="s">
        <v>44</v>
      </c>
      <c r="P150" s="3">
        <v>6675754.2034999998</v>
      </c>
      <c r="Q150" s="3">
        <v>6537835.2860000003</v>
      </c>
      <c r="R150" s="4">
        <v>3.39E-2</v>
      </c>
      <c r="S150" s="3">
        <f>+Tabla9[[#This Row],[SAL_PROM_SOL]]</f>
        <v>6675754.2034999998</v>
      </c>
      <c r="T150" s="4">
        <v>1.7999999999999999E-2</v>
      </c>
      <c r="U150" s="4">
        <v>1.5900000000000001E-2</v>
      </c>
      <c r="V150" s="3">
        <v>18561.385200000001</v>
      </c>
      <c r="W150" s="3">
        <v>9931.4712</v>
      </c>
      <c r="X150" s="3">
        <v>8629.9140000000007</v>
      </c>
      <c r="Y150" s="3">
        <v>0</v>
      </c>
      <c r="Z150" s="3">
        <v>8629.9140000000007</v>
      </c>
      <c r="AA150">
        <v>30</v>
      </c>
      <c r="AB150" t="b">
        <f t="shared" si="100"/>
        <v>1</v>
      </c>
      <c r="AC150" s="3">
        <v>2000000</v>
      </c>
      <c r="AD150" t="s">
        <v>46</v>
      </c>
      <c r="AE150" s="8">
        <v>46155.560022106481</v>
      </c>
      <c r="AF150" s="6">
        <f t="shared" ref="AF150" si="133">S150/AC150</f>
        <v>3.3378771017499997</v>
      </c>
      <c r="AG150" s="6" t="b">
        <f>+Tabla9[[#This Row],[CUMPLIMIENTO]]&lt;100%</f>
        <v>0</v>
      </c>
      <c r="AH150" s="12">
        <f>((( (Tabla9[[#This Row],[FTP_CIERRE_MES]]/100)+1)^(30/360) -1)*(36000/30))/36000</f>
        <v>9.2680593701059222E-5</v>
      </c>
      <c r="AI150" s="3">
        <f>Tabla9[[#This Row],[FTP_DIARIO]]*Tabla9[[#This Row],[SALDO_PROM_CORREGIDO]]*Tabla9[[#This Row],[DIAS]]</f>
        <v>18561.385889481651</v>
      </c>
      <c r="AJ150" s="3">
        <f>Tabla9[[#This Row],[REAL_FTP_MONTO]]-Tabla9[[#This Row],[INT_REAL]]</f>
        <v>8629.9146894816513</v>
      </c>
      <c r="AK150" s="3">
        <f>Tabla9[[#This Row],[FTP_DIARIO]]*Tabla9[[#This Row],[COMPROMISO]]*Tabla9[[#This Row],[DIAS]]</f>
        <v>5560.8356220635533</v>
      </c>
      <c r="AL150" s="13">
        <f>((( (Tabla9[[#This Row],[TASA_INT]])+1)^(30/360) -1)*(36000/30))/36000</f>
        <v>4.9592182353415858E-5</v>
      </c>
      <c r="AM150" s="3">
        <f>Tabla9[[#This Row],[TEA DIARIA]]*Tabla9[[#This Row],[SALDO_PROM_CORREGIDO]]*Tabla9[[#This Row],[DIAS]]</f>
        <v>9931.9565941966321</v>
      </c>
      <c r="AN150" s="3">
        <f>Tabla9[[#This Row],[TEA DIARIA]]*Tabla9[[#This Row],[COMPROMISO]]*Tabla9[[#This Row],[DIAS]]</f>
        <v>2975.5309412049514</v>
      </c>
      <c r="AO150" s="14">
        <f>+Tabla9[[#This Row],[PROYECTADO_FTP_MONTO]]-Tabla9[[#This Row],[PROYECCION_INTERES]]</f>
        <v>2585.3046808586018</v>
      </c>
      <c r="AP150" s="3">
        <f>Tabla9[[#This Row],[PROYECCION_MARGEN(FTP - Int compromiso)]]-Tabla9[[#This Row],[REAL_MARGEN(FTP - Int)]]</f>
        <v>-6044.610008623049</v>
      </c>
    </row>
    <row r="151" spans="1:42" x14ac:dyDescent="0.35">
      <c r="A151">
        <v>202604</v>
      </c>
      <c r="B151" s="7">
        <v>46142</v>
      </c>
      <c r="C151">
        <v>10806343</v>
      </c>
      <c r="D151" t="s">
        <v>36</v>
      </c>
      <c r="E151" t="s">
        <v>37</v>
      </c>
      <c r="F151" t="s">
        <v>146</v>
      </c>
      <c r="G151" t="s">
        <v>37</v>
      </c>
      <c r="H151" t="s">
        <v>498</v>
      </c>
      <c r="I151" t="s">
        <v>244</v>
      </c>
      <c r="J151" t="str">
        <f t="shared" ref="J151:J152" si="134">IF(I151="SOLES","4.4963","3.388")</f>
        <v>3.388</v>
      </c>
      <c r="K151" t="s">
        <v>32</v>
      </c>
      <c r="L151" t="s">
        <v>33</v>
      </c>
      <c r="M151" t="s">
        <v>34</v>
      </c>
      <c r="N151" t="s">
        <v>380</v>
      </c>
      <c r="O151" t="s">
        <v>44</v>
      </c>
      <c r="P151" s="3">
        <v>783464.29040000006</v>
      </c>
      <c r="Q151" s="3">
        <v>583738.61190000002</v>
      </c>
      <c r="R151" s="4">
        <v>3.39E-2</v>
      </c>
      <c r="S151" s="3">
        <f>+Tabla9[[#This Row],[SAL_PROM_SOL]]</f>
        <v>783464.29040000006</v>
      </c>
      <c r="T151" s="4">
        <v>1.2999999999999999E-2</v>
      </c>
      <c r="U151" s="4">
        <v>2.0899999999999998E-2</v>
      </c>
      <c r="V151" s="3">
        <v>2178.3517000000002</v>
      </c>
      <c r="W151" s="3">
        <v>843.70719999999994</v>
      </c>
      <c r="X151" s="3">
        <v>1334.6445000000001</v>
      </c>
      <c r="Y151" s="3">
        <v>0</v>
      </c>
      <c r="Z151" s="3">
        <v>1334.6445000000001</v>
      </c>
      <c r="AA151">
        <v>30</v>
      </c>
      <c r="AB151" t="b">
        <f t="shared" si="100"/>
        <v>1</v>
      </c>
      <c r="AC151" s="3">
        <v>400000</v>
      </c>
      <c r="AD151" t="s">
        <v>46</v>
      </c>
      <c r="AE151" s="8">
        <v>46155.560022106481</v>
      </c>
      <c r="AF151" s="6">
        <f t="shared" ref="AF151:AF152" si="135">S151/AC151</f>
        <v>1.9586607260000002</v>
      </c>
      <c r="AG151" s="6" t="b">
        <f>+Tabla9[[#This Row],[CUMPLIMIENTO]]&lt;100%</f>
        <v>0</v>
      </c>
      <c r="AH151" s="12">
        <f>((( (Tabla9[[#This Row],[FTP_CIERRE_MES]]/100)+1)^(30/360) -1)*(36000/30))/36000</f>
        <v>9.2680593701059222E-5</v>
      </c>
      <c r="AI151" s="3">
        <f>Tabla9[[#This Row],[FTP_DIARIO]]*Tabla9[[#This Row],[SALDO_PROM_CORREGIDO]]*Tabla9[[#This Row],[DIAS]]</f>
        <v>2178.3580673355327</v>
      </c>
      <c r="AJ151" s="3">
        <f>Tabla9[[#This Row],[REAL_FTP_MONTO]]-Tabla9[[#This Row],[INT_REAL]]</f>
        <v>1334.6508673355329</v>
      </c>
      <c r="AK151" s="3">
        <f>Tabla9[[#This Row],[FTP_DIARIO]]*Tabla9[[#This Row],[COMPROMISO]]*Tabla9[[#This Row],[DIAS]]</f>
        <v>1112.1671244127106</v>
      </c>
      <c r="AL151" s="13">
        <f>((( (Tabla9[[#This Row],[TASA_INT]])+1)^(30/360) -1)*(36000/30))/36000</f>
        <v>3.5897719345356907E-5</v>
      </c>
      <c r="AM151" s="3">
        <f>Tabla9[[#This Row],[TEA DIARIA]]*Tabla9[[#This Row],[SALDO_PROM_CORREGIDO]]*Tabla9[[#This Row],[DIAS]]</f>
        <v>843.73743641665214</v>
      </c>
      <c r="AN151" s="3">
        <f>Tabla9[[#This Row],[TEA DIARIA]]*Tabla9[[#This Row],[COMPROMISO]]*Tabla9[[#This Row],[DIAS]]</f>
        <v>430.77263214428291</v>
      </c>
      <c r="AO151" s="14">
        <f>+Tabla9[[#This Row],[PROYECTADO_FTP_MONTO]]-Tabla9[[#This Row],[PROYECCION_INTERES]]</f>
        <v>681.39449226842771</v>
      </c>
      <c r="AP151" s="3">
        <f>Tabla9[[#This Row],[PROYECCION_MARGEN(FTP - Int compromiso)]]-Tabla9[[#This Row],[REAL_MARGEN(FTP - Int)]]</f>
        <v>-653.25637506710518</v>
      </c>
    </row>
    <row r="152" spans="1:42" x14ac:dyDescent="0.35">
      <c r="A152">
        <v>202604</v>
      </c>
      <c r="B152" s="7">
        <v>46142</v>
      </c>
      <c r="C152">
        <v>10806343</v>
      </c>
      <c r="D152" t="s">
        <v>36</v>
      </c>
      <c r="E152" t="s">
        <v>37</v>
      </c>
      <c r="F152" t="s">
        <v>146</v>
      </c>
      <c r="G152" t="s">
        <v>37</v>
      </c>
      <c r="H152" t="s">
        <v>498</v>
      </c>
      <c r="I152" t="s">
        <v>243</v>
      </c>
      <c r="J152" t="str">
        <f t="shared" si="134"/>
        <v>4.4963</v>
      </c>
      <c r="K152" t="s">
        <v>32</v>
      </c>
      <c r="L152" t="s">
        <v>33</v>
      </c>
      <c r="M152" t="s">
        <v>31</v>
      </c>
      <c r="N152" t="s">
        <v>381</v>
      </c>
      <c r="O152" t="s">
        <v>44</v>
      </c>
      <c r="P152" s="3">
        <v>18127317.628899999</v>
      </c>
      <c r="Q152" s="3">
        <v>21467448.27</v>
      </c>
      <c r="R152" s="4">
        <v>4.4999999999999998E-2</v>
      </c>
      <c r="S152" s="3">
        <f>+Tabla9[[#This Row],[SAL_PROM_SOL]]</f>
        <v>18127317.628899999</v>
      </c>
      <c r="T152" s="4">
        <v>2.1000000000000001E-2</v>
      </c>
      <c r="U152" s="4">
        <v>2.4E-2</v>
      </c>
      <c r="V152" s="3">
        <v>66560.750799999994</v>
      </c>
      <c r="W152" s="3">
        <v>31419.688699999999</v>
      </c>
      <c r="X152" s="3">
        <v>35141.062100000003</v>
      </c>
      <c r="Y152" s="3">
        <v>25.6813</v>
      </c>
      <c r="Z152" s="3">
        <v>35115.380799999999</v>
      </c>
      <c r="AA152">
        <v>30</v>
      </c>
      <c r="AB152" t="b">
        <f t="shared" si="100"/>
        <v>1</v>
      </c>
      <c r="AC152" s="3">
        <v>11000000</v>
      </c>
      <c r="AD152" t="s">
        <v>46</v>
      </c>
      <c r="AE152" s="8">
        <v>46155.560022106481</v>
      </c>
      <c r="AF152" s="6">
        <f t="shared" si="135"/>
        <v>1.6479379662636362</v>
      </c>
      <c r="AG152" s="6" t="b">
        <f>+Tabla9[[#This Row],[CUMPLIMIENTO]]&lt;100%</f>
        <v>0</v>
      </c>
      <c r="AH152" s="12">
        <f>((( (Tabla9[[#This Row],[FTP_CIERRE_MES]]/100)+1)^(30/360) -1)*(36000/30))/36000</f>
        <v>1.2239493171416853E-4</v>
      </c>
      <c r="AI152" s="3">
        <f>Tabla9[[#This Row],[FTP_DIARIO]]*Tabla9[[#This Row],[SALDO_PROM_CORREGIDO]]*Tabla9[[#This Row],[DIAS]]</f>
        <v>66560.754100507766</v>
      </c>
      <c r="AJ152" s="3">
        <f>Tabla9[[#This Row],[REAL_FTP_MONTO]]-Tabla9[[#This Row],[INT_REAL]]</f>
        <v>35141.065400507767</v>
      </c>
      <c r="AK152" s="3">
        <f>Tabla9[[#This Row],[FTP_DIARIO]]*Tabla9[[#This Row],[COMPROMISO]]*Tabla9[[#This Row],[DIAS]]</f>
        <v>40390.327465675611</v>
      </c>
      <c r="AL152" s="13">
        <f>((( (Tabla9[[#This Row],[TASA_INT]])+1)^(30/360) -1)*(36000/30))/36000</f>
        <v>5.7779294417170667E-5</v>
      </c>
      <c r="AM152" s="3">
        <f>Tabla9[[#This Row],[TEA DIARIA]]*Tabla9[[#This Row],[SALDO_PROM_CORREGIDO]]*Tabla9[[#This Row],[DIAS]]</f>
        <v>31421.508668213435</v>
      </c>
      <c r="AN152" s="3">
        <f>Tabla9[[#This Row],[TEA DIARIA]]*Tabla9[[#This Row],[COMPROMISO]]*Tabla9[[#This Row],[DIAS]]</f>
        <v>19067.167157666321</v>
      </c>
      <c r="AO152" s="14">
        <f>+Tabla9[[#This Row],[PROYECTADO_FTP_MONTO]]-Tabla9[[#This Row],[PROYECCION_INTERES]]</f>
        <v>21323.16030800929</v>
      </c>
      <c r="AP152" s="3">
        <f>Tabla9[[#This Row],[PROYECCION_MARGEN(FTP - Int compromiso)]]-Tabla9[[#This Row],[REAL_MARGEN(FTP - Int)]]</f>
        <v>-13817.905092498477</v>
      </c>
    </row>
    <row r="153" spans="1:42" x14ac:dyDescent="0.35">
      <c r="A153">
        <v>202604</v>
      </c>
      <c r="B153" s="7">
        <v>46142</v>
      </c>
      <c r="C153">
        <v>10918461</v>
      </c>
      <c r="D153" t="s">
        <v>29</v>
      </c>
      <c r="E153" t="s">
        <v>35</v>
      </c>
      <c r="F153" t="s">
        <v>52</v>
      </c>
      <c r="G153" t="s">
        <v>35</v>
      </c>
      <c r="H153" t="s">
        <v>517</v>
      </c>
      <c r="I153" t="s">
        <v>244</v>
      </c>
      <c r="J153" t="str">
        <f t="shared" ref="J153" si="136">IF(I153="SOLES","4.4963","3.388")</f>
        <v>3.388</v>
      </c>
      <c r="K153" t="s">
        <v>32</v>
      </c>
      <c r="L153" t="s">
        <v>33</v>
      </c>
      <c r="M153" t="s">
        <v>34</v>
      </c>
      <c r="N153" t="s">
        <v>382</v>
      </c>
      <c r="O153" t="s">
        <v>44</v>
      </c>
      <c r="P153" s="3">
        <v>1806997.5745000001</v>
      </c>
      <c r="Q153" s="3">
        <v>1850235.3881000001</v>
      </c>
      <c r="R153" s="4">
        <v>3.39E-2</v>
      </c>
      <c r="S153" s="3">
        <f>+Tabla9[[#This Row],[SAL_PROM_SOL]]</f>
        <v>1806997.5745000001</v>
      </c>
      <c r="T153" s="4">
        <v>0.03</v>
      </c>
      <c r="U153" s="4">
        <v>3.8999999999999998E-3</v>
      </c>
      <c r="V153" s="3">
        <v>5024.1977999999999</v>
      </c>
      <c r="W153" s="3">
        <v>4456.1715999999997</v>
      </c>
      <c r="X153" s="3">
        <v>568.02620000000002</v>
      </c>
      <c r="Y153" s="3">
        <v>0</v>
      </c>
      <c r="Z153" s="3">
        <v>568.02620000000002</v>
      </c>
      <c r="AA153">
        <v>30</v>
      </c>
      <c r="AB153" t="b">
        <f t="shared" si="100"/>
        <v>1</v>
      </c>
      <c r="AC153" s="3">
        <v>520000</v>
      </c>
      <c r="AD153" t="s">
        <v>46</v>
      </c>
      <c r="AE153" s="8">
        <v>46155.560022106481</v>
      </c>
      <c r="AF153" s="6">
        <f t="shared" ref="AF153" si="137">S153/AC153</f>
        <v>3.4749953355769234</v>
      </c>
      <c r="AG153" s="6" t="b">
        <f>+Tabla9[[#This Row],[CUMPLIMIENTO]]&lt;100%</f>
        <v>0</v>
      </c>
      <c r="AH153" s="12">
        <f>((( (Tabla9[[#This Row],[FTP_CIERRE_MES]]/100)+1)^(30/360) -1)*(36000/30))/36000</f>
        <v>9.2680593701059222E-5</v>
      </c>
      <c r="AI153" s="3">
        <f>Tabla9[[#This Row],[FTP_DIARIO]]*Tabla9[[#This Row],[SALDO_PROM_CORREGIDO]]*Tabla9[[#This Row],[DIAS]]</f>
        <v>5024.2082406310201</v>
      </c>
      <c r="AJ153" s="3">
        <f>Tabla9[[#This Row],[REAL_FTP_MONTO]]-Tabla9[[#This Row],[INT_REAL]]</f>
        <v>568.03664063102042</v>
      </c>
      <c r="AK153" s="3">
        <f>Tabla9[[#This Row],[FTP_DIARIO]]*Tabla9[[#This Row],[COMPROMISO]]*Tabla9[[#This Row],[DIAS]]</f>
        <v>1445.817261736524</v>
      </c>
      <c r="AL153" s="13">
        <f>((( (Tabla9[[#This Row],[TASA_INT]])+1)^(30/360) -1)*(36000/30))/36000</f>
        <v>8.220899241012288E-5</v>
      </c>
      <c r="AM153" s="3">
        <f>Tabla9[[#This Row],[TEA DIARIA]]*Tabla9[[#This Row],[SALDO_PROM_CORREGIDO]]*Tabla9[[#This Row],[DIAS]]</f>
        <v>4456.5434966154289</v>
      </c>
      <c r="AN153" s="3">
        <f>Tabla9[[#This Row],[TEA DIARIA]]*Tabla9[[#This Row],[COMPROMISO]]*Tabla9[[#This Row],[DIAS]]</f>
        <v>1282.4602815979169</v>
      </c>
      <c r="AO153" s="14">
        <f>+Tabla9[[#This Row],[PROYECTADO_FTP_MONTO]]-Tabla9[[#This Row],[PROYECCION_INTERES]]</f>
        <v>163.35698013860701</v>
      </c>
      <c r="AP153" s="3">
        <f>Tabla9[[#This Row],[PROYECCION_MARGEN(FTP - Int compromiso)]]-Tabla9[[#This Row],[REAL_MARGEN(FTP - Int)]]</f>
        <v>-404.6796604924134</v>
      </c>
    </row>
    <row r="154" spans="1:42" x14ac:dyDescent="0.35">
      <c r="A154">
        <v>202604</v>
      </c>
      <c r="B154" s="7">
        <v>46142</v>
      </c>
      <c r="C154">
        <v>11147365</v>
      </c>
      <c r="D154" t="s">
        <v>36</v>
      </c>
      <c r="E154" t="s">
        <v>37</v>
      </c>
      <c r="F154" t="s">
        <v>147</v>
      </c>
      <c r="G154" t="s">
        <v>37</v>
      </c>
      <c r="H154" t="s">
        <v>498</v>
      </c>
      <c r="I154" t="s">
        <v>243</v>
      </c>
      <c r="J154" t="str">
        <f t="shared" ref="J154:J159" si="138">IF(I154="SOLES","4.4963","3.388")</f>
        <v>4.4963</v>
      </c>
      <c r="K154" t="s">
        <v>32</v>
      </c>
      <c r="L154" t="s">
        <v>33</v>
      </c>
      <c r="M154" t="s">
        <v>31</v>
      </c>
      <c r="N154" t="s">
        <v>383</v>
      </c>
      <c r="O154" t="s">
        <v>44</v>
      </c>
      <c r="P154" s="3">
        <v>1860998.2612999999</v>
      </c>
      <c r="Q154" s="3">
        <v>618728.66</v>
      </c>
      <c r="R154" s="4">
        <v>4.4999999999999998E-2</v>
      </c>
      <c r="T154" s="4">
        <v>1.0999999999999999E-2</v>
      </c>
      <c r="U154" s="4">
        <v>3.4000000000000002E-2</v>
      </c>
      <c r="V154" s="3">
        <v>6833.3014000000003</v>
      </c>
      <c r="W154" s="3">
        <v>1691.8489</v>
      </c>
      <c r="X154" s="3">
        <v>5141.4525000000003</v>
      </c>
      <c r="Y154" s="3">
        <v>0</v>
      </c>
      <c r="Z154" s="3">
        <v>5141.4525000000003</v>
      </c>
      <c r="AA154">
        <v>30</v>
      </c>
      <c r="AB154" t="b">
        <f t="shared" ref="AB154:AB159" si="139">+AA154=30</f>
        <v>1</v>
      </c>
      <c r="AD154" t="s">
        <v>46</v>
      </c>
      <c r="AE154" s="8">
        <v>46155.560022106481</v>
      </c>
      <c r="AF154" s="6" t="e">
        <f t="shared" ref="AF154:AF159" si="140">S154/AC154</f>
        <v>#DIV/0!</v>
      </c>
      <c r="AG154" s="6" t="e">
        <f>+Tabla9[[#This Row],[CUMPLIMIENTO]]&lt;100%</f>
        <v>#DIV/0!</v>
      </c>
      <c r="AH154" s="12">
        <f>((( (Tabla9[[#This Row],[FTP_CIERRE_MES]]/100)+1)^(30/360) -1)*(36000/30))/36000</f>
        <v>1.2239493171416853E-4</v>
      </c>
      <c r="AI154" s="3">
        <f>Tabla9[[#This Row],[FTP_DIARIO]]*Tabla9[[#This Row],[SALDO_PROM_CORREGIDO]]*Tabla9[[#This Row],[DIAS]]</f>
        <v>0</v>
      </c>
      <c r="AJ154" s="3">
        <f>Tabla9[[#This Row],[REAL_FTP_MONTO]]-Tabla9[[#This Row],[INT_REAL]]</f>
        <v>-1691.8489</v>
      </c>
      <c r="AK154" s="3">
        <f>Tabla9[[#This Row],[FTP_DIARIO]]*Tabla9[[#This Row],[COMPROMISO]]*Tabla9[[#This Row],[DIAS]]</f>
        <v>0</v>
      </c>
      <c r="AL154" s="13">
        <f>((( (Tabla9[[#This Row],[TASA_INT]])+1)^(30/360) -1)*(36000/30))/36000</f>
        <v>3.0402578655815601E-5</v>
      </c>
      <c r="AM154" s="3">
        <f>Tabla9[[#This Row],[TEA DIARIA]]*Tabla9[[#This Row],[SALDO_PROM_CORREGIDO]]*Tabla9[[#This Row],[DIAS]]</f>
        <v>0</v>
      </c>
      <c r="AN154" s="3">
        <f>Tabla9[[#This Row],[TEA DIARIA]]*Tabla9[[#This Row],[COMPROMISO]]*Tabla9[[#This Row],[DIAS]]</f>
        <v>0</v>
      </c>
      <c r="AO154" s="14">
        <f>+Tabla9[[#This Row],[PROYECTADO_FTP_MONTO]]-Tabla9[[#This Row],[PROYECCION_INTERES]]</f>
        <v>0</v>
      </c>
      <c r="AP154" s="3">
        <f>Tabla9[[#This Row],[PROYECCION_MARGEN(FTP - Int compromiso)]]-Tabla9[[#This Row],[REAL_MARGEN(FTP - Int)]]</f>
        <v>1691.8489</v>
      </c>
    </row>
    <row r="155" spans="1:42" x14ac:dyDescent="0.35">
      <c r="A155">
        <v>202604</v>
      </c>
      <c r="B155" s="7">
        <v>46142</v>
      </c>
      <c r="C155">
        <v>11147365</v>
      </c>
      <c r="D155" t="s">
        <v>36</v>
      </c>
      <c r="E155" t="s">
        <v>37</v>
      </c>
      <c r="F155" t="s">
        <v>147</v>
      </c>
      <c r="G155" t="s">
        <v>37</v>
      </c>
      <c r="H155" t="s">
        <v>498</v>
      </c>
      <c r="I155" t="s">
        <v>243</v>
      </c>
      <c r="J155" t="str">
        <f t="shared" si="138"/>
        <v>4.4963</v>
      </c>
      <c r="K155" t="s">
        <v>32</v>
      </c>
      <c r="L155" t="s">
        <v>33</v>
      </c>
      <c r="M155" t="s">
        <v>31</v>
      </c>
      <c r="N155" t="s">
        <v>384</v>
      </c>
      <c r="O155" t="s">
        <v>44</v>
      </c>
      <c r="P155" s="3">
        <v>2447560.3599</v>
      </c>
      <c r="Q155" s="3">
        <v>977628.7</v>
      </c>
      <c r="R155" s="4">
        <v>4.4999999999999998E-2</v>
      </c>
      <c r="T155" s="4">
        <v>1.14E-2</v>
      </c>
      <c r="U155" s="4">
        <v>3.3599999999999998E-2</v>
      </c>
      <c r="V155" s="3">
        <v>8987.0701000000008</v>
      </c>
      <c r="W155" s="3">
        <v>2322.0693999999999</v>
      </c>
      <c r="X155" s="3">
        <v>6665.0006999999996</v>
      </c>
      <c r="Y155" s="3">
        <v>0</v>
      </c>
      <c r="Z155" s="3">
        <v>6665.0006999999996</v>
      </c>
      <c r="AA155">
        <v>30</v>
      </c>
      <c r="AB155" t="b">
        <f t="shared" si="139"/>
        <v>1</v>
      </c>
      <c r="AD155" t="s">
        <v>46</v>
      </c>
      <c r="AE155" s="8">
        <v>46155.560022106481</v>
      </c>
      <c r="AF155" s="6" t="e">
        <f t="shared" si="140"/>
        <v>#DIV/0!</v>
      </c>
      <c r="AG155" s="6" t="e">
        <f>+Tabla9[[#This Row],[CUMPLIMIENTO]]&lt;100%</f>
        <v>#DIV/0!</v>
      </c>
      <c r="AH155" s="12">
        <f>((( (Tabla9[[#This Row],[FTP_CIERRE_MES]]/100)+1)^(30/360) -1)*(36000/30))/36000</f>
        <v>1.2239493171416853E-4</v>
      </c>
      <c r="AI155" s="3">
        <f>Tabla9[[#This Row],[FTP_DIARIO]]*Tabla9[[#This Row],[SALDO_PROM_CORREGIDO]]*Tabla9[[#This Row],[DIAS]]</f>
        <v>0</v>
      </c>
      <c r="AJ155" s="3">
        <f>Tabla9[[#This Row],[REAL_FTP_MONTO]]-Tabla9[[#This Row],[INT_REAL]]</f>
        <v>-2322.0693999999999</v>
      </c>
      <c r="AK155" s="3">
        <f>Tabla9[[#This Row],[FTP_DIARIO]]*Tabla9[[#This Row],[COMPROMISO]]*Tabla9[[#This Row],[DIAS]]</f>
        <v>0</v>
      </c>
      <c r="AL155" s="13">
        <f>((( (Tabla9[[#This Row],[TASA_INT]])+1)^(30/360) -1)*(36000/30))/36000</f>
        <v>3.1502403492855716E-5</v>
      </c>
      <c r="AM155" s="3">
        <f>Tabla9[[#This Row],[TEA DIARIA]]*Tabla9[[#This Row],[SALDO_PROM_CORREGIDO]]*Tabla9[[#This Row],[DIAS]]</f>
        <v>0</v>
      </c>
      <c r="AN155" s="3">
        <f>Tabla9[[#This Row],[TEA DIARIA]]*Tabla9[[#This Row],[COMPROMISO]]*Tabla9[[#This Row],[DIAS]]</f>
        <v>0</v>
      </c>
      <c r="AO155" s="14">
        <f>+Tabla9[[#This Row],[PROYECTADO_FTP_MONTO]]-Tabla9[[#This Row],[PROYECCION_INTERES]]</f>
        <v>0</v>
      </c>
      <c r="AP155" s="3">
        <f>Tabla9[[#This Row],[PROYECCION_MARGEN(FTP - Int compromiso)]]-Tabla9[[#This Row],[REAL_MARGEN(FTP - Int)]]</f>
        <v>2322.0693999999999</v>
      </c>
    </row>
    <row r="156" spans="1:42" x14ac:dyDescent="0.35">
      <c r="A156">
        <v>202604</v>
      </c>
      <c r="B156" s="7">
        <v>46142</v>
      </c>
      <c r="C156">
        <v>11147365</v>
      </c>
      <c r="D156" t="s">
        <v>36</v>
      </c>
      <c r="E156" t="s">
        <v>37</v>
      </c>
      <c r="F156" t="s">
        <v>147</v>
      </c>
      <c r="G156" t="s">
        <v>37</v>
      </c>
      <c r="H156" t="s">
        <v>498</v>
      </c>
      <c r="I156" t="s">
        <v>243</v>
      </c>
      <c r="J156" t="str">
        <f t="shared" si="138"/>
        <v>4.4963</v>
      </c>
      <c r="K156" t="s">
        <v>32</v>
      </c>
      <c r="L156" t="s">
        <v>33</v>
      </c>
      <c r="M156" t="s">
        <v>31</v>
      </c>
      <c r="N156" t="s">
        <v>385</v>
      </c>
      <c r="O156" t="s">
        <v>44</v>
      </c>
      <c r="P156" s="3">
        <v>5014167.5197999999</v>
      </c>
      <c r="Q156" s="3">
        <v>868784.73</v>
      </c>
      <c r="R156" s="4">
        <v>4.4999999999999998E-2</v>
      </c>
      <c r="T156" s="4">
        <v>1.0999999999999999E-2</v>
      </c>
      <c r="U156" s="4">
        <v>3.4000000000000002E-2</v>
      </c>
      <c r="V156" s="3">
        <v>18411.259999999998</v>
      </c>
      <c r="W156" s="3">
        <v>4573.1785</v>
      </c>
      <c r="X156" s="3">
        <v>13838.0815</v>
      </c>
      <c r="Y156" s="3">
        <v>0</v>
      </c>
      <c r="Z156" s="3">
        <v>13838.0815</v>
      </c>
      <c r="AA156">
        <v>30</v>
      </c>
      <c r="AB156" t="b">
        <f t="shared" si="139"/>
        <v>1</v>
      </c>
      <c r="AD156" t="s">
        <v>46</v>
      </c>
      <c r="AE156" s="8">
        <v>46155.560022106481</v>
      </c>
      <c r="AF156" s="6" t="e">
        <f t="shared" si="140"/>
        <v>#DIV/0!</v>
      </c>
      <c r="AG156" s="6" t="e">
        <f>+Tabla9[[#This Row],[CUMPLIMIENTO]]&lt;100%</f>
        <v>#DIV/0!</v>
      </c>
      <c r="AH156" s="12">
        <f>((( (Tabla9[[#This Row],[FTP_CIERRE_MES]]/100)+1)^(30/360) -1)*(36000/30))/36000</f>
        <v>1.2239493171416853E-4</v>
      </c>
      <c r="AI156" s="3">
        <f>Tabla9[[#This Row],[FTP_DIARIO]]*Tabla9[[#This Row],[SALDO_PROM_CORREGIDO]]*Tabla9[[#This Row],[DIAS]]</f>
        <v>0</v>
      </c>
      <c r="AJ156" s="3">
        <f>Tabla9[[#This Row],[REAL_FTP_MONTO]]-Tabla9[[#This Row],[INT_REAL]]</f>
        <v>-4573.1785</v>
      </c>
      <c r="AK156" s="3">
        <f>Tabla9[[#This Row],[FTP_DIARIO]]*Tabla9[[#This Row],[COMPROMISO]]*Tabla9[[#This Row],[DIAS]]</f>
        <v>0</v>
      </c>
      <c r="AL156" s="13">
        <f>((( (Tabla9[[#This Row],[TASA_INT]])+1)^(30/360) -1)*(36000/30))/36000</f>
        <v>3.0402578655815601E-5</v>
      </c>
      <c r="AM156" s="3">
        <f>Tabla9[[#This Row],[TEA DIARIA]]*Tabla9[[#This Row],[SALDO_PROM_CORREGIDO]]*Tabla9[[#This Row],[DIAS]]</f>
        <v>0</v>
      </c>
      <c r="AN156" s="3">
        <f>Tabla9[[#This Row],[TEA DIARIA]]*Tabla9[[#This Row],[COMPROMISO]]*Tabla9[[#This Row],[DIAS]]</f>
        <v>0</v>
      </c>
      <c r="AO156" s="14">
        <f>+Tabla9[[#This Row],[PROYECTADO_FTP_MONTO]]-Tabla9[[#This Row],[PROYECCION_INTERES]]</f>
        <v>0</v>
      </c>
      <c r="AP156" s="3">
        <f>Tabla9[[#This Row],[PROYECCION_MARGEN(FTP - Int compromiso)]]-Tabla9[[#This Row],[REAL_MARGEN(FTP - Int)]]</f>
        <v>4573.1785</v>
      </c>
    </row>
    <row r="157" spans="1:42" x14ac:dyDescent="0.35">
      <c r="A157">
        <v>202604</v>
      </c>
      <c r="B157" s="7">
        <v>46142</v>
      </c>
      <c r="C157">
        <v>11147365</v>
      </c>
      <c r="D157" t="s">
        <v>36</v>
      </c>
      <c r="E157" t="s">
        <v>37</v>
      </c>
      <c r="F157" t="s">
        <v>147</v>
      </c>
      <c r="G157" t="s">
        <v>37</v>
      </c>
      <c r="H157" t="s">
        <v>498</v>
      </c>
      <c r="I157" t="s">
        <v>243</v>
      </c>
      <c r="J157" t="str">
        <f t="shared" si="138"/>
        <v>4.4963</v>
      </c>
      <c r="K157" t="s">
        <v>32</v>
      </c>
      <c r="L157" t="s">
        <v>33</v>
      </c>
      <c r="M157" t="s">
        <v>31</v>
      </c>
      <c r="N157" t="s">
        <v>361</v>
      </c>
      <c r="O157" t="s">
        <v>44</v>
      </c>
      <c r="P157" s="3">
        <v>5543778.1393999998</v>
      </c>
      <c r="Q157" s="3">
        <v>6179056.6500000004</v>
      </c>
      <c r="R157" s="4">
        <v>4.4999999999999998E-2</v>
      </c>
      <c r="T157" s="4">
        <v>1.0999999999999999E-2</v>
      </c>
      <c r="U157" s="4">
        <v>3.4000000000000002E-2</v>
      </c>
      <c r="V157" s="3">
        <v>20355.911199999999</v>
      </c>
      <c r="W157" s="3">
        <v>5056.2003999999997</v>
      </c>
      <c r="X157" s="3">
        <v>15299.710800000001</v>
      </c>
      <c r="Y157" s="3">
        <v>0</v>
      </c>
      <c r="Z157" s="3">
        <v>15299.710800000001</v>
      </c>
      <c r="AA157">
        <v>30</v>
      </c>
      <c r="AB157" t="b">
        <f t="shared" si="139"/>
        <v>1</v>
      </c>
      <c r="AD157" t="s">
        <v>46</v>
      </c>
      <c r="AE157" s="8">
        <v>46155.560022106481</v>
      </c>
      <c r="AF157" s="6" t="e">
        <f t="shared" si="140"/>
        <v>#DIV/0!</v>
      </c>
      <c r="AG157" s="6" t="e">
        <f>+Tabla9[[#This Row],[CUMPLIMIENTO]]&lt;100%</f>
        <v>#DIV/0!</v>
      </c>
      <c r="AH157" s="12">
        <f>((( (Tabla9[[#This Row],[FTP_CIERRE_MES]]/100)+1)^(30/360) -1)*(36000/30))/36000</f>
        <v>1.2239493171416853E-4</v>
      </c>
      <c r="AI157" s="3">
        <f>Tabla9[[#This Row],[FTP_DIARIO]]*Tabla9[[#This Row],[SALDO_PROM_CORREGIDO]]*Tabla9[[#This Row],[DIAS]]</f>
        <v>0</v>
      </c>
      <c r="AJ157" s="3">
        <f>Tabla9[[#This Row],[REAL_FTP_MONTO]]-Tabla9[[#This Row],[INT_REAL]]</f>
        <v>-5056.2003999999997</v>
      </c>
      <c r="AK157" s="3">
        <f>Tabla9[[#This Row],[FTP_DIARIO]]*Tabla9[[#This Row],[COMPROMISO]]*Tabla9[[#This Row],[DIAS]]</f>
        <v>0</v>
      </c>
      <c r="AL157" s="13">
        <f>((( (Tabla9[[#This Row],[TASA_INT]])+1)^(30/360) -1)*(36000/30))/36000</f>
        <v>3.0402578655815601E-5</v>
      </c>
      <c r="AM157" s="3">
        <f>Tabla9[[#This Row],[TEA DIARIA]]*Tabla9[[#This Row],[SALDO_PROM_CORREGIDO]]*Tabla9[[#This Row],[DIAS]]</f>
        <v>0</v>
      </c>
      <c r="AN157" s="3">
        <f>Tabla9[[#This Row],[TEA DIARIA]]*Tabla9[[#This Row],[COMPROMISO]]*Tabla9[[#This Row],[DIAS]]</f>
        <v>0</v>
      </c>
      <c r="AO157" s="14">
        <f>+Tabla9[[#This Row],[PROYECTADO_FTP_MONTO]]-Tabla9[[#This Row],[PROYECCION_INTERES]]</f>
        <v>0</v>
      </c>
      <c r="AP157" s="3">
        <f>Tabla9[[#This Row],[PROYECCION_MARGEN(FTP - Int compromiso)]]-Tabla9[[#This Row],[REAL_MARGEN(FTP - Int)]]</f>
        <v>5056.2003999999997</v>
      </c>
    </row>
    <row r="158" spans="1:42" x14ac:dyDescent="0.35">
      <c r="A158">
        <v>202604</v>
      </c>
      <c r="B158" s="7">
        <v>46142</v>
      </c>
      <c r="C158">
        <v>11147365</v>
      </c>
      <c r="D158" t="s">
        <v>36</v>
      </c>
      <c r="E158" t="s">
        <v>37</v>
      </c>
      <c r="F158" t="s">
        <v>147</v>
      </c>
      <c r="G158" t="s">
        <v>37</v>
      </c>
      <c r="H158" t="s">
        <v>498</v>
      </c>
      <c r="I158" t="s">
        <v>243</v>
      </c>
      <c r="J158" t="str">
        <f t="shared" si="138"/>
        <v>4.4963</v>
      </c>
      <c r="K158" t="s">
        <v>32</v>
      </c>
      <c r="L158" t="s">
        <v>33</v>
      </c>
      <c r="M158" t="s">
        <v>31</v>
      </c>
      <c r="N158" t="s">
        <v>257</v>
      </c>
      <c r="O158" t="s">
        <v>44</v>
      </c>
      <c r="P158" s="3">
        <v>5830685.7187999999</v>
      </c>
      <c r="Q158" s="3">
        <v>4083682.91</v>
      </c>
      <c r="R158" s="4">
        <v>4.4999999999999998E-2</v>
      </c>
      <c r="T158" s="4">
        <v>1.0500000000000001E-2</v>
      </c>
      <c r="U158" s="4">
        <v>3.4500000000000003E-2</v>
      </c>
      <c r="V158" s="3">
        <v>21409.39</v>
      </c>
      <c r="W158" s="3">
        <v>5086.1511</v>
      </c>
      <c r="X158" s="3">
        <v>16323.2389</v>
      </c>
      <c r="Y158" s="3">
        <v>0</v>
      </c>
      <c r="Z158" s="3">
        <v>16323.2389</v>
      </c>
      <c r="AA158">
        <v>30</v>
      </c>
      <c r="AB158" t="b">
        <f t="shared" si="139"/>
        <v>1</v>
      </c>
      <c r="AD158" t="s">
        <v>46</v>
      </c>
      <c r="AE158" s="8">
        <v>46155.560022106481</v>
      </c>
      <c r="AF158" s="6" t="e">
        <f t="shared" si="140"/>
        <v>#DIV/0!</v>
      </c>
      <c r="AG158" s="6" t="e">
        <f>+Tabla9[[#This Row],[CUMPLIMIENTO]]&lt;100%</f>
        <v>#DIV/0!</v>
      </c>
      <c r="AH158" s="12">
        <f>((( (Tabla9[[#This Row],[FTP_CIERRE_MES]]/100)+1)^(30/360) -1)*(36000/30))/36000</f>
        <v>1.2239493171416853E-4</v>
      </c>
      <c r="AI158" s="3">
        <f>Tabla9[[#This Row],[FTP_DIARIO]]*Tabla9[[#This Row],[SALDO_PROM_CORREGIDO]]*Tabla9[[#This Row],[DIAS]]</f>
        <v>0</v>
      </c>
      <c r="AJ158" s="3">
        <f>Tabla9[[#This Row],[REAL_FTP_MONTO]]-Tabla9[[#This Row],[INT_REAL]]</f>
        <v>-5086.1511</v>
      </c>
      <c r="AK158" s="3">
        <f>Tabla9[[#This Row],[FTP_DIARIO]]*Tabla9[[#This Row],[COMPROMISO]]*Tabla9[[#This Row],[DIAS]]</f>
        <v>0</v>
      </c>
      <c r="AL158" s="13">
        <f>((( (Tabla9[[#This Row],[TASA_INT]])+1)^(30/360) -1)*(36000/30))/36000</f>
        <v>2.9027236545312955E-5</v>
      </c>
      <c r="AM158" s="3">
        <f>Tabla9[[#This Row],[TEA DIARIA]]*Tabla9[[#This Row],[SALDO_PROM_CORREGIDO]]*Tabla9[[#This Row],[DIAS]]</f>
        <v>0</v>
      </c>
      <c r="AN158" s="3">
        <f>Tabla9[[#This Row],[TEA DIARIA]]*Tabla9[[#This Row],[COMPROMISO]]*Tabla9[[#This Row],[DIAS]]</f>
        <v>0</v>
      </c>
      <c r="AO158" s="14">
        <f>+Tabla9[[#This Row],[PROYECTADO_FTP_MONTO]]-Tabla9[[#This Row],[PROYECCION_INTERES]]</f>
        <v>0</v>
      </c>
      <c r="AP158" s="3">
        <f>Tabla9[[#This Row],[PROYECCION_MARGEN(FTP - Int compromiso)]]-Tabla9[[#This Row],[REAL_MARGEN(FTP - Int)]]</f>
        <v>5086.1511</v>
      </c>
    </row>
    <row r="159" spans="1:42" x14ac:dyDescent="0.35">
      <c r="A159">
        <v>202604</v>
      </c>
      <c r="B159" s="7">
        <v>46142</v>
      </c>
      <c r="C159">
        <v>11147365</v>
      </c>
      <c r="D159" t="s">
        <v>36</v>
      </c>
      <c r="E159" t="s">
        <v>37</v>
      </c>
      <c r="F159" t="s">
        <v>147</v>
      </c>
      <c r="G159" t="s">
        <v>37</v>
      </c>
      <c r="H159" t="s">
        <v>498</v>
      </c>
      <c r="I159" t="s">
        <v>243</v>
      </c>
      <c r="J159" t="str">
        <f t="shared" si="138"/>
        <v>4.4963</v>
      </c>
      <c r="K159" t="s">
        <v>32</v>
      </c>
      <c r="L159" t="s">
        <v>33</v>
      </c>
      <c r="M159" t="s">
        <v>31</v>
      </c>
      <c r="N159" t="s">
        <v>386</v>
      </c>
      <c r="O159" t="s">
        <v>44</v>
      </c>
      <c r="P159" s="3">
        <v>17456493.769000001</v>
      </c>
      <c r="Q159" s="3">
        <v>4795785.42</v>
      </c>
      <c r="R159" s="4">
        <v>4.4999999999999998E-2</v>
      </c>
      <c r="S159" s="10">
        <f>SUM(P154:P159)</f>
        <v>38153683.768199995</v>
      </c>
      <c r="T159" s="4">
        <v>1.09E-2</v>
      </c>
      <c r="U159" s="4">
        <v>3.4099999999999998E-2</v>
      </c>
      <c r="V159" s="3">
        <v>64097.590799999998</v>
      </c>
      <c r="W159" s="3">
        <v>15782.7912</v>
      </c>
      <c r="X159" s="3">
        <v>48314.799599999998</v>
      </c>
      <c r="Y159" s="3">
        <v>0</v>
      </c>
      <c r="Z159" s="3">
        <v>48314.799599999998</v>
      </c>
      <c r="AA159">
        <v>30</v>
      </c>
      <c r="AB159" t="b">
        <f t="shared" si="139"/>
        <v>1</v>
      </c>
      <c r="AC159" s="10">
        <v>35000000</v>
      </c>
      <c r="AD159" t="s">
        <v>46</v>
      </c>
      <c r="AE159" s="8">
        <v>46155.560022106481</v>
      </c>
      <c r="AF159" s="6">
        <f t="shared" si="140"/>
        <v>1.09010525052</v>
      </c>
      <c r="AG159" s="6" t="b">
        <f>+Tabla9[[#This Row],[CUMPLIMIENTO]]&lt;100%</f>
        <v>0</v>
      </c>
      <c r="AH159" s="12">
        <f>((( (Tabla9[[#This Row],[FTP_CIERRE_MES]]/100)+1)^(30/360) -1)*(36000/30))/36000</f>
        <v>1.2239493171416853E-4</v>
      </c>
      <c r="AI159" s="3">
        <f>Tabla9[[#This Row],[FTP_DIARIO]]*Tabla9[[#This Row],[SALDO_PROM_CORREGIDO]]*Tabla9[[#This Row],[DIAS]]</f>
        <v>140094.52558358456</v>
      </c>
      <c r="AJ159" s="3">
        <f>Tabla9[[#This Row],[REAL_FTP_MONTO]]-Tabla9[[#This Row],[INT_REAL]]</f>
        <v>124311.73438358455</v>
      </c>
      <c r="AK159" s="3">
        <f>Tabla9[[#This Row],[FTP_DIARIO]]*Tabla9[[#This Row],[COMPROMISO]]*Tabla9[[#This Row],[DIAS]]</f>
        <v>128514.67829987695</v>
      </c>
      <c r="AL159" s="13">
        <f>((( (Tabla9[[#This Row],[TASA_INT]])+1)^(30/360) -1)*(36000/30))/36000</f>
        <v>3.0127560121854617E-5</v>
      </c>
      <c r="AM159" s="3">
        <f>Tabla9[[#This Row],[TEA DIARIA]]*Tabla9[[#This Row],[SALDO_PROM_CORREGIDO]]*Tabla9[[#This Row],[DIAS]]</f>
        <v>34484.322047900219</v>
      </c>
      <c r="AN159" s="3">
        <f>Tabla9[[#This Row],[TEA DIARIA]]*Tabla9[[#This Row],[COMPROMISO]]*Tabla9[[#This Row],[DIAS]]</f>
        <v>31633.938127947345</v>
      </c>
      <c r="AO159" s="14">
        <f>+Tabla9[[#This Row],[PROYECTADO_FTP_MONTO]]-Tabla9[[#This Row],[PROYECCION_INTERES]]</f>
        <v>96880.740171929603</v>
      </c>
      <c r="AP159" s="3">
        <f>Tabla9[[#This Row],[PROYECCION_MARGEN(FTP - Int compromiso)]]-Tabla9[[#This Row],[REAL_MARGEN(FTP - Int)]]</f>
        <v>-27430.99421165495</v>
      </c>
    </row>
    <row r="160" spans="1:42" x14ac:dyDescent="0.35">
      <c r="A160">
        <v>202604</v>
      </c>
      <c r="B160" s="7">
        <v>46142</v>
      </c>
      <c r="C160">
        <v>11345767</v>
      </c>
      <c r="D160" t="s">
        <v>29</v>
      </c>
      <c r="E160" t="s">
        <v>35</v>
      </c>
      <c r="F160" t="s">
        <v>148</v>
      </c>
      <c r="G160" t="s">
        <v>35</v>
      </c>
      <c r="H160" t="s">
        <v>518</v>
      </c>
      <c r="I160" t="s">
        <v>244</v>
      </c>
      <c r="J160" t="str">
        <f t="shared" ref="J160:J161" si="141">IF(I160="SOLES","4.4963","3.388")</f>
        <v>3.388</v>
      </c>
      <c r="K160" t="s">
        <v>32</v>
      </c>
      <c r="L160" t="s">
        <v>33</v>
      </c>
      <c r="M160" t="s">
        <v>34</v>
      </c>
      <c r="N160" t="s">
        <v>387</v>
      </c>
      <c r="O160" t="s">
        <v>44</v>
      </c>
      <c r="P160" s="3">
        <v>3467533.7851</v>
      </c>
      <c r="Q160" s="3">
        <v>3085503.5959000001</v>
      </c>
      <c r="R160" s="4">
        <v>3.39E-2</v>
      </c>
      <c r="S160" s="3">
        <f>+Tabla9[[#This Row],[SAL_PROM_SOL]]</f>
        <v>3467533.7851</v>
      </c>
      <c r="T160" s="4">
        <v>0.01</v>
      </c>
      <c r="U160" s="4">
        <v>2.3900000000000001E-2</v>
      </c>
      <c r="V160" s="3">
        <v>9641.1918999999998</v>
      </c>
      <c r="W160" s="3">
        <v>2885.9225999999999</v>
      </c>
      <c r="X160" s="3">
        <v>6755.2692999999999</v>
      </c>
      <c r="Y160" s="3">
        <v>0</v>
      </c>
      <c r="Z160" s="3">
        <v>6755.2692999999999</v>
      </c>
      <c r="AA160">
        <v>30</v>
      </c>
      <c r="AB160" t="b">
        <f t="shared" ref="AB160:AB191" si="142">+AA160=30</f>
        <v>1</v>
      </c>
      <c r="AC160" s="3">
        <v>3000000</v>
      </c>
      <c r="AD160" t="s">
        <v>46</v>
      </c>
      <c r="AE160" s="8">
        <v>46155.560022106481</v>
      </c>
      <c r="AF160" s="6">
        <f t="shared" ref="AF160:AF161" si="143">S160/AC160</f>
        <v>1.1558445950333334</v>
      </c>
      <c r="AG160" s="6" t="b">
        <f>+Tabla9[[#This Row],[CUMPLIMIENTO]]&lt;100%</f>
        <v>0</v>
      </c>
      <c r="AH160" s="12">
        <f>((( (Tabla9[[#This Row],[FTP_CIERRE_MES]]/100)+1)^(30/360) -1)*(36000/30))/36000</f>
        <v>9.2680593701059222E-5</v>
      </c>
      <c r="AI160" s="3">
        <f>Tabla9[[#This Row],[FTP_DIARIO]]*Tabla9[[#This Row],[SALDO_PROM_CORREGIDO]]*Tabla9[[#This Row],[DIAS]]</f>
        <v>9641.1926964464728</v>
      </c>
      <c r="AJ160" s="3">
        <f>Tabla9[[#This Row],[REAL_FTP_MONTO]]-Tabla9[[#This Row],[INT_REAL]]</f>
        <v>6755.270096446473</v>
      </c>
      <c r="AK160" s="3">
        <f>Tabla9[[#This Row],[FTP_DIARIO]]*Tabla9[[#This Row],[COMPROMISO]]*Tabla9[[#This Row],[DIAS]]</f>
        <v>8341.2534330953295</v>
      </c>
      <c r="AL160" s="13">
        <f>((( (Tabla9[[#This Row],[TASA_INT]])+1)^(30/360) -1)*(36000/30))/36000</f>
        <v>2.7651270478205405E-5</v>
      </c>
      <c r="AM160" s="3">
        <f>Tabla9[[#This Row],[TEA DIARIA]]*Tabla9[[#This Row],[SALDO_PROM_CORREGIDO]]*Tabla9[[#This Row],[DIAS]]</f>
        <v>2876.4514375234639</v>
      </c>
      <c r="AN160" s="3">
        <f>Tabla9[[#This Row],[TEA DIARIA]]*Tabla9[[#This Row],[COMPROMISO]]*Tabla9[[#This Row],[DIAS]]</f>
        <v>2488.6143430384864</v>
      </c>
      <c r="AO160" s="14">
        <f>+Tabla9[[#This Row],[PROYECTADO_FTP_MONTO]]-Tabla9[[#This Row],[PROYECCION_INTERES]]</f>
        <v>5852.6390900568431</v>
      </c>
      <c r="AP160" s="3">
        <f>Tabla9[[#This Row],[PROYECCION_MARGEN(FTP - Int compromiso)]]-Tabla9[[#This Row],[REAL_MARGEN(FTP - Int)]]</f>
        <v>-902.63100638962987</v>
      </c>
    </row>
    <row r="161" spans="1:42" x14ac:dyDescent="0.35">
      <c r="A161">
        <v>202604</v>
      </c>
      <c r="B161" s="7">
        <v>46142</v>
      </c>
      <c r="C161">
        <v>11345767</v>
      </c>
      <c r="D161" t="s">
        <v>29</v>
      </c>
      <c r="E161" t="s">
        <v>35</v>
      </c>
      <c r="F161" t="s">
        <v>148</v>
      </c>
      <c r="G161" t="s">
        <v>35</v>
      </c>
      <c r="H161" t="s">
        <v>518</v>
      </c>
      <c r="I161" t="s">
        <v>243</v>
      </c>
      <c r="J161" t="str">
        <f t="shared" si="141"/>
        <v>4.4963</v>
      </c>
      <c r="K161" t="s">
        <v>32</v>
      </c>
      <c r="L161" t="s">
        <v>33</v>
      </c>
      <c r="M161" t="s">
        <v>31</v>
      </c>
      <c r="N161" t="s">
        <v>388</v>
      </c>
      <c r="O161" t="s">
        <v>44</v>
      </c>
      <c r="P161" s="3">
        <v>1265321.2298999999</v>
      </c>
      <c r="Q161" s="3">
        <v>1684502.37</v>
      </c>
      <c r="R161" s="4">
        <v>4.4999999999999998E-2</v>
      </c>
      <c r="S161" s="3">
        <f>+Tabla9[[#This Row],[SAL_PROM_SOL]]</f>
        <v>1265321.2298999999</v>
      </c>
      <c r="T161" s="4">
        <v>1.5800000000000002E-2</v>
      </c>
      <c r="U161" s="4">
        <v>2.92E-2</v>
      </c>
      <c r="V161" s="3">
        <v>4646.0703000000003</v>
      </c>
      <c r="W161" s="3">
        <v>1649.9096999999999</v>
      </c>
      <c r="X161" s="3">
        <v>2996.1606000000002</v>
      </c>
      <c r="Y161" s="3">
        <v>43.9499</v>
      </c>
      <c r="Z161" s="3">
        <v>2952.2107000000001</v>
      </c>
      <c r="AA161">
        <v>30</v>
      </c>
      <c r="AB161" t="b">
        <f t="shared" si="142"/>
        <v>1</v>
      </c>
      <c r="AC161" s="3">
        <v>3000000</v>
      </c>
      <c r="AD161" t="s">
        <v>46</v>
      </c>
      <c r="AE161" s="8">
        <v>46155.560022106481</v>
      </c>
      <c r="AF161" s="6">
        <f t="shared" si="143"/>
        <v>0.42177374329999995</v>
      </c>
      <c r="AG161" s="6" t="b">
        <f>+Tabla9[[#This Row],[CUMPLIMIENTO]]&lt;100%</f>
        <v>1</v>
      </c>
      <c r="AH161" s="12">
        <f>((( (Tabla9[[#This Row],[FTP_CIERRE_MES]]/100)+1)^(30/360) -1)*(36000/30))/36000</f>
        <v>1.2239493171416853E-4</v>
      </c>
      <c r="AI161" s="3">
        <f>Tabla9[[#This Row],[FTP_DIARIO]]*Tabla9[[#This Row],[SALDO_PROM_CORREGIDO]]*Tabla9[[#This Row],[DIAS]]</f>
        <v>4646.0671659029467</v>
      </c>
      <c r="AJ161" s="3">
        <f>Tabla9[[#This Row],[REAL_FTP_MONTO]]-Tabla9[[#This Row],[INT_REAL]]</f>
        <v>2996.1574659029466</v>
      </c>
      <c r="AK161" s="3">
        <f>Tabla9[[#This Row],[FTP_DIARIO]]*Tabla9[[#This Row],[COMPROMISO]]*Tabla9[[#This Row],[DIAS]]</f>
        <v>11015.543854275167</v>
      </c>
      <c r="AL161" s="13">
        <f>((( (Tabla9[[#This Row],[TASA_INT]])+1)^(30/360) -1)*(36000/30))/36000</f>
        <v>4.3574231978663987E-5</v>
      </c>
      <c r="AM161" s="3">
        <f>Tabla9[[#This Row],[TEA DIARIA]]*Tabla9[[#This Row],[SALDO_PROM_CORREGIDO]]*Tabla9[[#This Row],[DIAS]]</f>
        <v>1654.0620239757307</v>
      </c>
      <c r="AN161" s="3">
        <f>Tabla9[[#This Row],[TEA DIARIA]]*Tabla9[[#This Row],[COMPROMISO]]*Tabla9[[#This Row],[DIAS]]</f>
        <v>3921.6808780797592</v>
      </c>
      <c r="AO161" s="14">
        <f>+Tabla9[[#This Row],[PROYECTADO_FTP_MONTO]]-Tabla9[[#This Row],[PROYECCION_INTERES]]</f>
        <v>7093.862976195408</v>
      </c>
      <c r="AP161" s="3">
        <f>Tabla9[[#This Row],[PROYECCION_MARGEN(FTP - Int compromiso)]]-Tabla9[[#This Row],[REAL_MARGEN(FTP - Int)]]</f>
        <v>4097.7055102924614</v>
      </c>
    </row>
    <row r="162" spans="1:42" x14ac:dyDescent="0.35">
      <c r="A162">
        <v>202604</v>
      </c>
      <c r="B162" s="7">
        <v>46142</v>
      </c>
      <c r="C162">
        <v>11452151</v>
      </c>
      <c r="D162" t="s">
        <v>29</v>
      </c>
      <c r="E162" t="s">
        <v>30</v>
      </c>
      <c r="F162" t="s">
        <v>149</v>
      </c>
      <c r="G162" t="s">
        <v>30</v>
      </c>
      <c r="H162" t="s">
        <v>519</v>
      </c>
      <c r="I162" t="s">
        <v>243</v>
      </c>
      <c r="J162" t="str">
        <f t="shared" ref="J162" si="144">IF(I162="SOLES","4.4963","3.388")</f>
        <v>4.4963</v>
      </c>
      <c r="K162" t="s">
        <v>32</v>
      </c>
      <c r="L162" t="s">
        <v>33</v>
      </c>
      <c r="M162" t="s">
        <v>31</v>
      </c>
      <c r="N162" t="s">
        <v>295</v>
      </c>
      <c r="O162" t="s">
        <v>44</v>
      </c>
      <c r="P162" s="3">
        <v>2912338.1911999998</v>
      </c>
      <c r="Q162" s="3">
        <v>1846165.41</v>
      </c>
      <c r="R162" s="4">
        <v>4.4999999999999998E-2</v>
      </c>
      <c r="S162" s="3">
        <f>+Tabla9[[#This Row],[SAL_PROM_SOL]]</f>
        <v>2912338.1911999998</v>
      </c>
      <c r="T162" s="4">
        <v>1.43E-2</v>
      </c>
      <c r="U162" s="4">
        <v>3.0700000000000002E-2</v>
      </c>
      <c r="V162" s="3">
        <v>10693.6585</v>
      </c>
      <c r="W162" s="3">
        <v>3458.2284</v>
      </c>
      <c r="X162" s="3">
        <v>7235.4300999999996</v>
      </c>
      <c r="Y162" s="3">
        <v>43.9499</v>
      </c>
      <c r="Z162" s="3">
        <v>7191.4802</v>
      </c>
      <c r="AA162">
        <v>30</v>
      </c>
      <c r="AB162" t="b">
        <f t="shared" si="142"/>
        <v>1</v>
      </c>
      <c r="AC162" s="3">
        <v>2000000</v>
      </c>
      <c r="AD162" t="s">
        <v>45</v>
      </c>
      <c r="AE162" s="8">
        <v>46155.560022106481</v>
      </c>
      <c r="AF162" s="6">
        <f t="shared" ref="AF162" si="145">S162/AC162</f>
        <v>1.4561690956</v>
      </c>
      <c r="AG162" s="6" t="b">
        <f>+Tabla9[[#This Row],[CUMPLIMIENTO]]&lt;100%</f>
        <v>0</v>
      </c>
      <c r="AH162" s="12">
        <f>((( (Tabla9[[#This Row],[FTP_CIERRE_MES]]/100)+1)^(30/360) -1)*(36000/30))/36000</f>
        <v>1.2239493171416853E-4</v>
      </c>
      <c r="AI162" s="3">
        <f>Tabla9[[#This Row],[FTP_DIARIO]]*Tabla9[[#This Row],[SALDO_PROM_CORREGIDO]]*Tabla9[[#This Row],[DIAS]]</f>
        <v>10693.66302121467</v>
      </c>
      <c r="AJ162" s="3">
        <f>Tabla9[[#This Row],[REAL_FTP_MONTO]]-Tabla9[[#This Row],[INT_REAL]]</f>
        <v>7235.4346212146702</v>
      </c>
      <c r="AK162" s="3">
        <f>Tabla9[[#This Row],[FTP_DIARIO]]*Tabla9[[#This Row],[COMPROMISO]]*Tabla9[[#This Row],[DIAS]]</f>
        <v>7343.6959028501115</v>
      </c>
      <c r="AL162" s="13">
        <f>((( (Tabla9[[#This Row],[TASA_INT]])+1)^(30/360) -1)*(36000/30))/36000</f>
        <v>3.9464230181240903E-5</v>
      </c>
      <c r="AM162" s="3">
        <f>Tabla9[[#This Row],[TEA DIARIA]]*Tabla9[[#This Row],[SALDO_PROM_CORREGIDO]]*Tabla9[[#This Row],[DIAS]]</f>
        <v>3447.995542294067</v>
      </c>
      <c r="AN162" s="3">
        <f>Tabla9[[#This Row],[TEA DIARIA]]*Tabla9[[#This Row],[COMPROMISO]]*Tabla9[[#This Row],[DIAS]]</f>
        <v>2367.8538108744542</v>
      </c>
      <c r="AO162" s="14">
        <f>+Tabla9[[#This Row],[PROYECTADO_FTP_MONTO]]-Tabla9[[#This Row],[PROYECCION_INTERES]]</f>
        <v>4975.8420919756572</v>
      </c>
      <c r="AP162" s="3">
        <f>Tabla9[[#This Row],[PROYECCION_MARGEN(FTP - Int compromiso)]]-Tabla9[[#This Row],[REAL_MARGEN(FTP - Int)]]</f>
        <v>-2259.5925292390129</v>
      </c>
    </row>
    <row r="163" spans="1:42" x14ac:dyDescent="0.35">
      <c r="A163">
        <v>202604</v>
      </c>
      <c r="B163" s="7">
        <v>46142</v>
      </c>
      <c r="C163">
        <v>11605243</v>
      </c>
      <c r="D163" t="s">
        <v>36</v>
      </c>
      <c r="E163" t="s">
        <v>38</v>
      </c>
      <c r="F163" t="s">
        <v>150</v>
      </c>
      <c r="G163" t="s">
        <v>38</v>
      </c>
      <c r="H163" t="s">
        <v>507</v>
      </c>
      <c r="I163" t="s">
        <v>244</v>
      </c>
      <c r="J163" t="str">
        <f t="shared" ref="J163" si="146">IF(I163="SOLES","4.4963","3.388")</f>
        <v>3.388</v>
      </c>
      <c r="K163" t="s">
        <v>32</v>
      </c>
      <c r="L163" t="s">
        <v>33</v>
      </c>
      <c r="M163" t="s">
        <v>34</v>
      </c>
      <c r="N163" t="s">
        <v>389</v>
      </c>
      <c r="O163" t="s">
        <v>44</v>
      </c>
      <c r="P163" s="3">
        <v>185669566.7457</v>
      </c>
      <c r="Q163" s="3">
        <v>163113636.118</v>
      </c>
      <c r="R163" s="4">
        <v>3.39E-2</v>
      </c>
      <c r="S163" s="3">
        <f>+Tabla9[[#This Row],[SAL_PROM_SOL]]</f>
        <v>185669566.7457</v>
      </c>
      <c r="T163" s="4">
        <v>3.1300000000000001E-2</v>
      </c>
      <c r="U163" s="4">
        <v>2.5999999999999999E-3</v>
      </c>
      <c r="V163" s="3">
        <v>516238.97850000003</v>
      </c>
      <c r="W163" s="3">
        <v>478149.2072</v>
      </c>
      <c r="X163" s="3">
        <v>38089.7713</v>
      </c>
      <c r="Y163" s="3">
        <v>0</v>
      </c>
      <c r="Z163" s="3">
        <v>38089.7713</v>
      </c>
      <c r="AA163">
        <v>30</v>
      </c>
      <c r="AB163" t="b">
        <f t="shared" si="142"/>
        <v>1</v>
      </c>
      <c r="AC163" s="3">
        <v>10000000</v>
      </c>
      <c r="AD163" t="s">
        <v>46</v>
      </c>
      <c r="AE163" s="8">
        <v>46155.560022106481</v>
      </c>
      <c r="AF163" s="6">
        <f t="shared" ref="AF163" si="147">S163/AC163</f>
        <v>18.566956674570001</v>
      </c>
      <c r="AG163" s="6" t="b">
        <f>+Tabla9[[#This Row],[CUMPLIMIENTO]]&lt;100%</f>
        <v>0</v>
      </c>
      <c r="AH163" s="12">
        <f>((( (Tabla9[[#This Row],[FTP_CIERRE_MES]]/100)+1)^(30/360) -1)*(36000/30))/36000</f>
        <v>9.2680593701059222E-5</v>
      </c>
      <c r="AI163" s="3">
        <f>Tabla9[[#This Row],[FTP_DIARIO]]*Tabla9[[#This Row],[SALDO_PROM_CORREGIDO]]*Tabla9[[#This Row],[DIAS]]</f>
        <v>516238.9703462976</v>
      </c>
      <c r="AJ163" s="3">
        <f>Tabla9[[#This Row],[REAL_FTP_MONTO]]-Tabla9[[#This Row],[INT_REAL]]</f>
        <v>38089.763146297599</v>
      </c>
      <c r="AK163" s="3">
        <f>Tabla9[[#This Row],[FTP_DIARIO]]*Tabla9[[#This Row],[COMPROMISO]]*Tabla9[[#This Row],[DIAS]]</f>
        <v>27804.178110317764</v>
      </c>
      <c r="AL163" s="13">
        <f>((( (Tabla9[[#This Row],[TASA_INT]])+1)^(30/360) -1)*(36000/30))/36000</f>
        <v>8.5721540632074009E-5</v>
      </c>
      <c r="AM163" s="3">
        <f>Tabla9[[#This Row],[TEA DIARIA]]*Tabla9[[#This Row],[SALDO_PROM_CORREGIDO]]*Tabla9[[#This Row],[DIAS]]</f>
        <v>477476.43929793296</v>
      </c>
      <c r="AN163" s="3">
        <f>Tabla9[[#This Row],[TEA DIARIA]]*Tabla9[[#This Row],[COMPROMISO]]*Tabla9[[#This Row],[DIAS]]</f>
        <v>25716.462189622202</v>
      </c>
      <c r="AO163" s="14">
        <f>+Tabla9[[#This Row],[PROYECTADO_FTP_MONTO]]-Tabla9[[#This Row],[PROYECCION_INTERES]]</f>
        <v>2087.7159206955621</v>
      </c>
      <c r="AP163" s="3">
        <f>Tabla9[[#This Row],[PROYECCION_MARGEN(FTP - Int compromiso)]]-Tabla9[[#This Row],[REAL_MARGEN(FTP - Int)]]</f>
        <v>-36002.047225602037</v>
      </c>
    </row>
    <row r="164" spans="1:42" x14ac:dyDescent="0.35">
      <c r="A164">
        <v>202604</v>
      </c>
      <c r="B164" s="7">
        <v>46142</v>
      </c>
      <c r="C164">
        <v>11681253</v>
      </c>
      <c r="D164" t="s">
        <v>29</v>
      </c>
      <c r="E164" t="s">
        <v>30</v>
      </c>
      <c r="F164" t="s">
        <v>151</v>
      </c>
      <c r="G164" t="s">
        <v>30</v>
      </c>
      <c r="H164" t="s">
        <v>512</v>
      </c>
      <c r="I164" t="s">
        <v>243</v>
      </c>
      <c r="J164" t="str">
        <f t="shared" ref="J164" si="148">IF(I164="SOLES","4.4963","3.388")</f>
        <v>4.4963</v>
      </c>
      <c r="K164" t="s">
        <v>32</v>
      </c>
      <c r="L164" t="s">
        <v>33</v>
      </c>
      <c r="M164" t="s">
        <v>31</v>
      </c>
      <c r="N164" t="s">
        <v>390</v>
      </c>
      <c r="O164" t="s">
        <v>44</v>
      </c>
      <c r="P164" s="3">
        <v>860583.25899999996</v>
      </c>
      <c r="Q164" s="3">
        <v>907533.33</v>
      </c>
      <c r="R164" s="4">
        <v>4.4999999999999998E-2</v>
      </c>
      <c r="S164" s="3">
        <f>+Tabla9[[#This Row],[SAL_PROM_SOL]]</f>
        <v>860583.25899999996</v>
      </c>
      <c r="T164" s="4">
        <v>1.8700000000000001E-2</v>
      </c>
      <c r="U164" s="4">
        <v>2.63E-2</v>
      </c>
      <c r="V164" s="3">
        <v>3159.9303</v>
      </c>
      <c r="W164" s="3">
        <v>1330.6885</v>
      </c>
      <c r="X164" s="3">
        <v>1829.2418</v>
      </c>
      <c r="Y164" s="3">
        <v>43.9499</v>
      </c>
      <c r="Z164" s="3">
        <v>1785.2918999999999</v>
      </c>
      <c r="AA164">
        <v>30</v>
      </c>
      <c r="AB164" t="b">
        <f t="shared" si="142"/>
        <v>1</v>
      </c>
      <c r="AC164" s="3">
        <v>750000</v>
      </c>
      <c r="AD164" t="s">
        <v>45</v>
      </c>
      <c r="AE164" s="8">
        <v>46155.560022106481</v>
      </c>
      <c r="AF164" s="6">
        <f t="shared" ref="AF164" si="149">S164/AC164</f>
        <v>1.1474443453333334</v>
      </c>
      <c r="AG164" s="6" t="b">
        <f>+Tabla9[[#This Row],[CUMPLIMIENTO]]&lt;100%</f>
        <v>0</v>
      </c>
      <c r="AH164" s="12">
        <f>((( (Tabla9[[#This Row],[FTP_CIERRE_MES]]/100)+1)^(30/360) -1)*(36000/30))/36000</f>
        <v>1.2239493171416853E-4</v>
      </c>
      <c r="AI164" s="3">
        <f>Tabla9[[#This Row],[FTP_DIARIO]]*Tabla9[[#This Row],[SALDO_PROM_CORREGIDO]]*Tabla9[[#This Row],[DIAS]]</f>
        <v>3159.9308765898481</v>
      </c>
      <c r="AJ164" s="3">
        <f>Tabla9[[#This Row],[REAL_FTP_MONTO]]-Tabla9[[#This Row],[INT_REAL]]</f>
        <v>1829.2423765898482</v>
      </c>
      <c r="AK164" s="3">
        <f>Tabla9[[#This Row],[FTP_DIARIO]]*Tabla9[[#This Row],[COMPROMISO]]*Tabla9[[#This Row],[DIAS]]</f>
        <v>2753.8859635687918</v>
      </c>
      <c r="AL164" s="13">
        <f>((( (Tabla9[[#This Row],[TASA_INT]])+1)^(30/360) -1)*(36000/30))/36000</f>
        <v>5.15044847773168E-5</v>
      </c>
      <c r="AM164" s="3">
        <f>Tabla9[[#This Row],[TEA DIARIA]]*Tabla9[[#This Row],[SALDO_PROM_CORREGIDO]]*Tabla9[[#This Row],[DIAS]]</f>
        <v>1329.7169208833752</v>
      </c>
      <c r="AN164" s="3">
        <f>Tabla9[[#This Row],[TEA DIARIA]]*Tabla9[[#This Row],[COMPROMISO]]*Tabla9[[#This Row],[DIAS]]</f>
        <v>1158.8509074896281</v>
      </c>
      <c r="AO164" s="14">
        <f>+Tabla9[[#This Row],[PROYECTADO_FTP_MONTO]]-Tabla9[[#This Row],[PROYECCION_INTERES]]</f>
        <v>1595.0350560791637</v>
      </c>
      <c r="AP164" s="3">
        <f>Tabla9[[#This Row],[PROYECCION_MARGEN(FTP - Int compromiso)]]-Tabla9[[#This Row],[REAL_MARGEN(FTP - Int)]]</f>
        <v>-234.20732051068444</v>
      </c>
    </row>
    <row r="165" spans="1:42" x14ac:dyDescent="0.35">
      <c r="A165">
        <v>202604</v>
      </c>
      <c r="B165" s="7">
        <v>46142</v>
      </c>
      <c r="C165">
        <v>11718744</v>
      </c>
      <c r="D165" t="s">
        <v>29</v>
      </c>
      <c r="E165" t="s">
        <v>40</v>
      </c>
      <c r="F165" t="s">
        <v>152</v>
      </c>
      <c r="G165" t="s">
        <v>40</v>
      </c>
      <c r="H165" t="s">
        <v>509</v>
      </c>
      <c r="I165" t="s">
        <v>243</v>
      </c>
      <c r="J165" t="str">
        <f t="shared" ref="J165:J167" si="150">IF(I165="SOLES","4.4963","3.388")</f>
        <v>4.4963</v>
      </c>
      <c r="K165" t="s">
        <v>32</v>
      </c>
      <c r="L165" t="s">
        <v>33</v>
      </c>
      <c r="M165" t="s">
        <v>31</v>
      </c>
      <c r="N165" t="s">
        <v>316</v>
      </c>
      <c r="O165" t="s">
        <v>44</v>
      </c>
      <c r="P165" s="3">
        <v>2087262.6498</v>
      </c>
      <c r="Q165" s="3">
        <v>10862841.880000001</v>
      </c>
      <c r="R165" s="4">
        <v>4.4999999999999998E-2</v>
      </c>
      <c r="S165" s="3">
        <f>+Tabla9[[#This Row],[SAL_PROM_SOL]]</f>
        <v>2087262.6498</v>
      </c>
      <c r="T165" s="4">
        <v>1.5699999999999999E-2</v>
      </c>
      <c r="U165" s="4">
        <v>2.93E-2</v>
      </c>
      <c r="V165" s="3">
        <v>7664.1111000000001</v>
      </c>
      <c r="W165" s="3">
        <v>2704.7415999999998</v>
      </c>
      <c r="X165" s="3">
        <v>4959.3694999999998</v>
      </c>
      <c r="Y165" s="3">
        <v>43.9499</v>
      </c>
      <c r="Z165" s="3">
        <v>4915.4196000000002</v>
      </c>
      <c r="AA165">
        <v>30</v>
      </c>
      <c r="AB165" t="b">
        <f t="shared" si="142"/>
        <v>1</v>
      </c>
      <c r="AC165" s="3">
        <v>1000000</v>
      </c>
      <c r="AD165" t="s">
        <v>46</v>
      </c>
      <c r="AE165" s="8">
        <v>46155.560022106481</v>
      </c>
      <c r="AF165" s="6">
        <f t="shared" ref="AF165:AF167" si="151">S165/AC165</f>
        <v>2.0872626498</v>
      </c>
      <c r="AG165" s="6" t="b">
        <f>+Tabla9[[#This Row],[CUMPLIMIENTO]]&lt;100%</f>
        <v>0</v>
      </c>
      <c r="AH165" s="12">
        <f>((( (Tabla9[[#This Row],[FTP_CIERRE_MES]]/100)+1)^(30/360) -1)*(36000/30))/36000</f>
        <v>1.2239493171416853E-4</v>
      </c>
      <c r="AI165" s="3">
        <f>Tabla9[[#This Row],[FTP_DIARIO]]*Tabla9[[#This Row],[SALDO_PROM_CORREGIDO]]*Tabla9[[#This Row],[DIAS]]</f>
        <v>7664.111084754164</v>
      </c>
      <c r="AJ165" s="3">
        <f>Tabla9[[#This Row],[REAL_FTP_MONTO]]-Tabla9[[#This Row],[INT_REAL]]</f>
        <v>4959.3694847541647</v>
      </c>
      <c r="AK165" s="3">
        <f>Tabla9[[#This Row],[FTP_DIARIO]]*Tabla9[[#This Row],[COMPROMISO]]*Tabla9[[#This Row],[DIAS]]</f>
        <v>3671.8479514250557</v>
      </c>
      <c r="AL165" s="13">
        <f>((( (Tabla9[[#This Row],[TASA_INT]])+1)^(30/360) -1)*(36000/30))/36000</f>
        <v>4.3300404997959061E-5</v>
      </c>
      <c r="AM165" s="3">
        <f>Tabla9[[#This Row],[TEA DIARIA]]*Tabla9[[#This Row],[SALDO_PROM_CORREGIDO]]*Tabla9[[#This Row],[DIAS]]</f>
        <v>2711.3795422035955</v>
      </c>
      <c r="AN165" s="3">
        <f>Tabla9[[#This Row],[TEA DIARIA]]*Tabla9[[#This Row],[COMPROMISO]]*Tabla9[[#This Row],[DIAS]]</f>
        <v>1299.0121499387719</v>
      </c>
      <c r="AO165" s="14">
        <f>+Tabla9[[#This Row],[PROYECTADO_FTP_MONTO]]-Tabla9[[#This Row],[PROYECCION_INTERES]]</f>
        <v>2372.8358014862838</v>
      </c>
      <c r="AP165" s="3">
        <f>Tabla9[[#This Row],[PROYECCION_MARGEN(FTP - Int compromiso)]]-Tabla9[[#This Row],[REAL_MARGEN(FTP - Int)]]</f>
        <v>-2586.5336832678809</v>
      </c>
    </row>
    <row r="166" spans="1:42" x14ac:dyDescent="0.35">
      <c r="A166">
        <v>202604</v>
      </c>
      <c r="B166" s="7">
        <v>46142</v>
      </c>
      <c r="C166">
        <v>11721051</v>
      </c>
      <c r="D166" t="s">
        <v>29</v>
      </c>
      <c r="E166" t="s">
        <v>35</v>
      </c>
      <c r="F166" t="s">
        <v>153</v>
      </c>
      <c r="G166" t="s">
        <v>35</v>
      </c>
      <c r="H166" t="s">
        <v>518</v>
      </c>
      <c r="I166" t="s">
        <v>243</v>
      </c>
      <c r="J166" t="str">
        <f t="shared" si="150"/>
        <v>4.4963</v>
      </c>
      <c r="K166" t="s">
        <v>32</v>
      </c>
      <c r="L166" t="s">
        <v>33</v>
      </c>
      <c r="M166" t="s">
        <v>31</v>
      </c>
      <c r="N166" t="s">
        <v>391</v>
      </c>
      <c r="O166" t="s">
        <v>44</v>
      </c>
      <c r="P166" s="3">
        <v>3217438.5103000002</v>
      </c>
      <c r="Q166" s="3">
        <v>3572133.91</v>
      </c>
      <c r="R166" s="4">
        <v>4.4999999999999998E-2</v>
      </c>
      <c r="S166" s="3">
        <f>+Tabla9[[#This Row],[SAL_PROM_SOL]]</f>
        <v>3217438.5103000002</v>
      </c>
      <c r="T166" s="4">
        <v>1.4800000000000001E-2</v>
      </c>
      <c r="U166" s="4">
        <v>3.0200000000000001E-2</v>
      </c>
      <c r="V166" s="3">
        <v>11813.948700000001</v>
      </c>
      <c r="W166" s="3">
        <v>3943.0992000000001</v>
      </c>
      <c r="X166" s="3">
        <v>7870.8495000000003</v>
      </c>
      <c r="Y166" s="3">
        <v>43.9499</v>
      </c>
      <c r="Z166" s="3">
        <v>7826.8995999999997</v>
      </c>
      <c r="AA166">
        <v>22</v>
      </c>
      <c r="AB166" t="b">
        <f t="shared" si="142"/>
        <v>0</v>
      </c>
      <c r="AC166" s="3">
        <v>3500000</v>
      </c>
      <c r="AD166" t="s">
        <v>45</v>
      </c>
      <c r="AE166" s="8">
        <v>46155.560022106481</v>
      </c>
      <c r="AF166" s="6">
        <f t="shared" si="151"/>
        <v>0.91926814580000005</v>
      </c>
      <c r="AG166" s="6" t="b">
        <f>+Tabla9[[#This Row],[CUMPLIMIENTO]]&lt;100%</f>
        <v>1</v>
      </c>
      <c r="AH166" s="12">
        <f>((( (Tabla9[[#This Row],[FTP_CIERRE_MES]]/100)+1)^(30/360) -1)*(36000/30))/36000</f>
        <v>1.2239493171416853E-4</v>
      </c>
      <c r="AI166" s="3">
        <f>Tabla9[[#This Row],[FTP_DIARIO]]*Tabla9[[#This Row],[SALDO_PROM_CORREGIDO]]*Tabla9[[#This Row],[DIAS]]</f>
        <v>8663.5596687795023</v>
      </c>
      <c r="AJ166" s="3">
        <f>Tabla9[[#This Row],[REAL_FTP_MONTO]]-Tabla9[[#This Row],[INT_REAL]]</f>
        <v>4720.4604687795018</v>
      </c>
      <c r="AK166" s="3">
        <f>Tabla9[[#This Row],[FTP_DIARIO]]*Tabla9[[#This Row],[COMPROMISO]]*Tabla9[[#This Row],[DIAS]]</f>
        <v>9424.4097419909758</v>
      </c>
      <c r="AL166" s="13">
        <f>((( (Tabla9[[#This Row],[TASA_INT]])+1)^(30/360) -1)*(36000/30))/36000</f>
        <v>4.0834849484701802E-5</v>
      </c>
      <c r="AM166" s="3">
        <f>Tabla9[[#This Row],[TEA DIARIA]]*Tabla9[[#This Row],[SALDO_PROM_CORREGIDO]]*Tabla9[[#This Row],[DIAS]]</f>
        <v>2890.4395804764413</v>
      </c>
      <c r="AN166" s="3">
        <f>Tabla9[[#This Row],[TEA DIARIA]]*Tabla9[[#This Row],[COMPROMISO]]*Tabla9[[#This Row],[DIAS]]</f>
        <v>3144.2834103220384</v>
      </c>
      <c r="AO166" s="14">
        <f>+Tabla9[[#This Row],[PROYECTADO_FTP_MONTO]]-Tabla9[[#This Row],[PROYECCION_INTERES]]</f>
        <v>6280.1263316689374</v>
      </c>
      <c r="AP166" s="3">
        <f>Tabla9[[#This Row],[PROYECCION_MARGEN(FTP - Int compromiso)]]-Tabla9[[#This Row],[REAL_MARGEN(FTP - Int)]]</f>
        <v>1559.6658628894356</v>
      </c>
    </row>
    <row r="167" spans="1:42" x14ac:dyDescent="0.35">
      <c r="A167">
        <v>202604</v>
      </c>
      <c r="B167" s="7">
        <v>46142</v>
      </c>
      <c r="C167">
        <v>11721051</v>
      </c>
      <c r="D167" t="s">
        <v>29</v>
      </c>
      <c r="E167" t="s">
        <v>35</v>
      </c>
      <c r="F167" t="s">
        <v>153</v>
      </c>
      <c r="G167" t="s">
        <v>35</v>
      </c>
      <c r="H167" t="s">
        <v>518</v>
      </c>
      <c r="I167" t="s">
        <v>244</v>
      </c>
      <c r="J167" t="str">
        <f t="shared" si="150"/>
        <v>3.388</v>
      </c>
      <c r="K167" t="s">
        <v>32</v>
      </c>
      <c r="L167" t="s">
        <v>33</v>
      </c>
      <c r="M167" t="s">
        <v>34</v>
      </c>
      <c r="N167" t="s">
        <v>392</v>
      </c>
      <c r="O167" t="s">
        <v>44</v>
      </c>
      <c r="P167" s="3">
        <v>4602240.8505999995</v>
      </c>
      <c r="Q167" s="3">
        <v>4863118.5612000003</v>
      </c>
      <c r="R167" s="4">
        <v>3.39E-2</v>
      </c>
      <c r="S167" s="3">
        <f>+Tabla9[[#This Row],[SAL_PROM_SOL]]</f>
        <v>4602240.8505999995</v>
      </c>
      <c r="T167" s="4">
        <v>9.9000000000000008E-3</v>
      </c>
      <c r="U167" s="4">
        <v>2.4E-2</v>
      </c>
      <c r="V167" s="3">
        <v>12796.1505</v>
      </c>
      <c r="W167" s="3">
        <v>3797.6289999999999</v>
      </c>
      <c r="X167" s="3">
        <v>8998.5215000000007</v>
      </c>
      <c r="Y167" s="3">
        <v>0</v>
      </c>
      <c r="Z167" s="3">
        <v>8998.5215000000007</v>
      </c>
      <c r="AA167">
        <v>22</v>
      </c>
      <c r="AB167" t="b">
        <f t="shared" si="142"/>
        <v>0</v>
      </c>
      <c r="AC167" s="3">
        <v>1200000</v>
      </c>
      <c r="AD167" t="s">
        <v>45</v>
      </c>
      <c r="AE167" s="8">
        <v>46155.560022106481</v>
      </c>
      <c r="AF167" s="6">
        <f t="shared" si="151"/>
        <v>3.8352007088333329</v>
      </c>
      <c r="AG167" s="6" t="b">
        <f>+Tabla9[[#This Row],[CUMPLIMIENTO]]&lt;100%</f>
        <v>0</v>
      </c>
      <c r="AH167" s="12">
        <f>((( (Tabla9[[#This Row],[FTP_CIERRE_MES]]/100)+1)^(30/360) -1)*(36000/30))/36000</f>
        <v>9.2680593701059222E-5</v>
      </c>
      <c r="AI167" s="3">
        <f>Tabla9[[#This Row],[FTP_DIARIO]]*Tabla9[[#This Row],[SALDO_PROM_CORREGIDO]]*Tabla9[[#This Row],[DIAS]]</f>
        <v>9383.8451165552669</v>
      </c>
      <c r="AJ167" s="3">
        <f>Tabla9[[#This Row],[REAL_FTP_MONTO]]-Tabla9[[#This Row],[INT_REAL]]</f>
        <v>5586.216116555267</v>
      </c>
      <c r="AK167" s="3">
        <f>Tabla9[[#This Row],[FTP_DIARIO]]*Tabla9[[#This Row],[COMPROMISO]]*Tabla9[[#This Row],[DIAS]]</f>
        <v>2446.7676737079637</v>
      </c>
      <c r="AL167" s="13">
        <f>((( (Tabla9[[#This Row],[TASA_INT]])+1)^(30/360) -1)*(36000/30))/36000</f>
        <v>2.7376002337894018E-5</v>
      </c>
      <c r="AM167" s="3">
        <f>Tabla9[[#This Row],[TEA DIARIA]]*Tabla9[[#This Row],[SALDO_PROM_CORREGIDO]]*Tabla9[[#This Row],[DIAS]]</f>
        <v>2771.8010382826928</v>
      </c>
      <c r="AN167" s="3">
        <f>Tabla9[[#This Row],[TEA DIARIA]]*Tabla9[[#This Row],[COMPROMISO]]*Tabla9[[#This Row],[DIAS]]</f>
        <v>722.72646172040209</v>
      </c>
      <c r="AO167" s="14">
        <f>+Tabla9[[#This Row],[PROYECTADO_FTP_MONTO]]-Tabla9[[#This Row],[PROYECCION_INTERES]]</f>
        <v>1724.0412119875616</v>
      </c>
      <c r="AP167" s="3">
        <f>Tabla9[[#This Row],[PROYECCION_MARGEN(FTP - Int compromiso)]]-Tabla9[[#This Row],[REAL_MARGEN(FTP - Int)]]</f>
        <v>-3862.1749045677052</v>
      </c>
    </row>
    <row r="168" spans="1:42" x14ac:dyDescent="0.35">
      <c r="A168">
        <v>202604</v>
      </c>
      <c r="B168" s="7">
        <v>46142</v>
      </c>
      <c r="C168">
        <v>11763457</v>
      </c>
      <c r="D168" t="s">
        <v>36</v>
      </c>
      <c r="E168" t="s">
        <v>37</v>
      </c>
      <c r="F168" t="s">
        <v>53</v>
      </c>
      <c r="G168" t="s">
        <v>37</v>
      </c>
      <c r="H168" t="s">
        <v>491</v>
      </c>
      <c r="I168" t="s">
        <v>244</v>
      </c>
      <c r="J168" t="str">
        <f t="shared" ref="J168:J169" si="152">IF(I168="SOLES","4.4963","3.388")</f>
        <v>3.388</v>
      </c>
      <c r="K168" t="s">
        <v>32</v>
      </c>
      <c r="L168" t="s">
        <v>33</v>
      </c>
      <c r="M168" t="s">
        <v>34</v>
      </c>
      <c r="N168" t="s">
        <v>393</v>
      </c>
      <c r="O168" t="s">
        <v>44</v>
      </c>
      <c r="P168" s="3">
        <v>701792.30209999997</v>
      </c>
      <c r="Q168" s="3">
        <v>901222.00029999996</v>
      </c>
      <c r="R168" s="4">
        <v>3.39E-2</v>
      </c>
      <c r="S168" s="3">
        <f>+Tabla9[[#This Row],[SAL_PROM_SOL]]</f>
        <v>701792.30209999997</v>
      </c>
      <c r="T168" s="4">
        <v>1.7999999999999999E-2</v>
      </c>
      <c r="U168" s="4">
        <v>1.5900000000000001E-2</v>
      </c>
      <c r="V168" s="3">
        <v>1951.2858000000001</v>
      </c>
      <c r="W168" s="3">
        <v>1044.0553</v>
      </c>
      <c r="X168" s="3">
        <v>907.23050000000001</v>
      </c>
      <c r="Y168" s="3">
        <v>0</v>
      </c>
      <c r="Z168" s="3">
        <v>907.23050000000001</v>
      </c>
      <c r="AA168">
        <v>30</v>
      </c>
      <c r="AB168" t="b">
        <f t="shared" si="142"/>
        <v>1</v>
      </c>
      <c r="AC168" s="3">
        <v>300000</v>
      </c>
      <c r="AD168" t="s">
        <v>46</v>
      </c>
      <c r="AE168" s="8">
        <v>46155.560022106481</v>
      </c>
      <c r="AF168" s="6">
        <f t="shared" ref="AF168" si="153">S168/AC168</f>
        <v>2.3393076736666667</v>
      </c>
      <c r="AG168" s="6" t="b">
        <f>+Tabla9[[#This Row],[CUMPLIMIENTO]]&lt;100%</f>
        <v>0</v>
      </c>
      <c r="AH168" s="12">
        <f>((( (Tabla9[[#This Row],[FTP_CIERRE_MES]]/100)+1)^(30/360) -1)*(36000/30))/36000</f>
        <v>9.2680593701059222E-5</v>
      </c>
      <c r="AI168" s="3">
        <f>Tabla9[[#This Row],[FTP_DIARIO]]*Tabla9[[#This Row],[SALDO_PROM_CORREGIDO]]*Tabla9[[#This Row],[DIAS]]</f>
        <v>1951.2758164038335</v>
      </c>
      <c r="AJ168" s="3">
        <f>Tabla9[[#This Row],[REAL_FTP_MONTO]]-Tabla9[[#This Row],[INT_REAL]]</f>
        <v>907.22051640383347</v>
      </c>
      <c r="AK168" s="3">
        <f>Tabla9[[#This Row],[FTP_DIARIO]]*Tabla9[[#This Row],[COMPROMISO]]*Tabla9[[#This Row],[DIAS]]</f>
        <v>834.12534330953304</v>
      </c>
      <c r="AL168" s="13">
        <f>((( (Tabla9[[#This Row],[TASA_INT]])+1)^(30/360) -1)*(36000/30))/36000</f>
        <v>4.9592182353415858E-5</v>
      </c>
      <c r="AM168" s="3">
        <f>Tabla9[[#This Row],[TEA DIARIA]]*Tabla9[[#This Row],[SALDO_PROM_CORREGIDO]]*Tabla9[[#This Row],[DIAS]]</f>
        <v>1044.1023545990013</v>
      </c>
      <c r="AN168" s="3">
        <f>Tabla9[[#This Row],[TEA DIARIA]]*Tabla9[[#This Row],[COMPROMISO]]*Tabla9[[#This Row],[DIAS]]</f>
        <v>446.32964118074267</v>
      </c>
      <c r="AO168" s="14">
        <f>+Tabla9[[#This Row],[PROYECTADO_FTP_MONTO]]-Tabla9[[#This Row],[PROYECCION_INTERES]]</f>
        <v>387.79570212879037</v>
      </c>
      <c r="AP168" s="3">
        <f>Tabla9[[#This Row],[PROYECCION_MARGEN(FTP - Int compromiso)]]-Tabla9[[#This Row],[REAL_MARGEN(FTP - Int)]]</f>
        <v>-519.4248142750431</v>
      </c>
    </row>
    <row r="169" spans="1:42" x14ac:dyDescent="0.35">
      <c r="A169">
        <v>202604</v>
      </c>
      <c r="B169" s="7">
        <v>46142</v>
      </c>
      <c r="C169">
        <v>11763457</v>
      </c>
      <c r="D169" t="s">
        <v>36</v>
      </c>
      <c r="E169" t="s">
        <v>37</v>
      </c>
      <c r="F169" t="s">
        <v>53</v>
      </c>
      <c r="G169" t="s">
        <v>37</v>
      </c>
      <c r="H169" t="s">
        <v>491</v>
      </c>
      <c r="I169" t="s">
        <v>243</v>
      </c>
      <c r="J169" t="str">
        <f t="shared" si="152"/>
        <v>4.4963</v>
      </c>
      <c r="K169" t="s">
        <v>32</v>
      </c>
      <c r="L169" t="s">
        <v>33</v>
      </c>
      <c r="M169" t="s">
        <v>31</v>
      </c>
      <c r="N169" t="s">
        <v>277</v>
      </c>
      <c r="O169" t="s">
        <v>44</v>
      </c>
      <c r="P169" s="3">
        <v>306727.1986</v>
      </c>
      <c r="Q169" s="3">
        <v>155531.78</v>
      </c>
      <c r="R169" s="4">
        <v>4.4999999999999998E-2</v>
      </c>
      <c r="S169" s="3">
        <f>+Tabla9[[#This Row],[SAL_PROM_SOL]]</f>
        <v>306727.1986</v>
      </c>
      <c r="T169" s="4">
        <v>2.4E-2</v>
      </c>
      <c r="U169" s="4">
        <v>2.1000000000000001E-2</v>
      </c>
      <c r="V169" s="3">
        <v>1126.2603999999999</v>
      </c>
      <c r="W169" s="3">
        <v>606.77020000000005</v>
      </c>
      <c r="X169" s="3">
        <v>519.49019999999996</v>
      </c>
      <c r="Y169" s="3">
        <v>43.9499</v>
      </c>
      <c r="Z169" s="3">
        <v>475.5403</v>
      </c>
      <c r="AA169">
        <v>30</v>
      </c>
      <c r="AB169" t="b">
        <f t="shared" si="142"/>
        <v>1</v>
      </c>
      <c r="AC169" s="3">
        <v>1000000</v>
      </c>
      <c r="AD169" t="s">
        <v>46</v>
      </c>
      <c r="AE169" s="8">
        <v>46155.560022106481</v>
      </c>
      <c r="AF169" s="6">
        <f t="shared" ref="AF169" si="154">S169/AC169</f>
        <v>0.30672719860000003</v>
      </c>
      <c r="AG169" s="6" t="b">
        <f>+Tabla9[[#This Row],[CUMPLIMIENTO]]&lt;100%</f>
        <v>1</v>
      </c>
      <c r="AH169" s="12">
        <f>((( (Tabla9[[#This Row],[FTP_CIERRE_MES]]/100)+1)^(30/360) -1)*(36000/30))/36000</f>
        <v>1.2239493171416853E-4</v>
      </c>
      <c r="AI169" s="3">
        <f>Tabla9[[#This Row],[FTP_DIARIO]]*Tabla9[[#This Row],[SALDO_PROM_CORREGIDO]]*Tabla9[[#This Row],[DIAS]]</f>
        <v>1126.2556358257564</v>
      </c>
      <c r="AJ169" s="3">
        <f>Tabla9[[#This Row],[REAL_FTP_MONTO]]-Tabla9[[#This Row],[INT_REAL]]</f>
        <v>519.48543582575633</v>
      </c>
      <c r="AK169" s="3">
        <f>Tabla9[[#This Row],[FTP_DIARIO]]*Tabla9[[#This Row],[COMPROMISO]]*Tabla9[[#This Row],[DIAS]]</f>
        <v>3671.8479514250557</v>
      </c>
      <c r="AL169" s="13">
        <f>((( (Tabla9[[#This Row],[TASA_INT]])+1)^(30/360) -1)*(36000/30))/36000</f>
        <v>6.59443846281101E-5</v>
      </c>
      <c r="AM169" s="3">
        <f>Tabla9[[#This Row],[TEA DIARIA]]*Tabla9[[#This Row],[SALDO_PROM_CORREGIDO]]*Tabla9[[#This Row],[DIAS]]</f>
        <v>606.80809081143343</v>
      </c>
      <c r="AN169" s="3">
        <f>Tabla9[[#This Row],[TEA DIARIA]]*Tabla9[[#This Row],[COMPROMISO]]*Tabla9[[#This Row],[DIAS]]</f>
        <v>1978.331538843303</v>
      </c>
      <c r="AO169" s="14">
        <f>+Tabla9[[#This Row],[PROYECTADO_FTP_MONTO]]-Tabla9[[#This Row],[PROYECCION_INTERES]]</f>
        <v>1693.5164125817528</v>
      </c>
      <c r="AP169" s="3">
        <f>Tabla9[[#This Row],[PROYECCION_MARGEN(FTP - Int compromiso)]]-Tabla9[[#This Row],[REAL_MARGEN(FTP - Int)]]</f>
        <v>1174.0309767559966</v>
      </c>
    </row>
    <row r="170" spans="1:42" x14ac:dyDescent="0.35">
      <c r="A170">
        <v>202604</v>
      </c>
      <c r="B170" s="7">
        <v>46142</v>
      </c>
      <c r="C170">
        <v>11868906</v>
      </c>
      <c r="D170" t="s">
        <v>29</v>
      </c>
      <c r="E170" t="s">
        <v>35</v>
      </c>
      <c r="F170" t="s">
        <v>154</v>
      </c>
      <c r="G170" t="s">
        <v>35</v>
      </c>
      <c r="H170" t="s">
        <v>520</v>
      </c>
      <c r="I170" t="s">
        <v>244</v>
      </c>
      <c r="J170" t="str">
        <f t="shared" ref="J170" si="155">IF(I170="SOLES","4.4963","3.388")</f>
        <v>3.388</v>
      </c>
      <c r="K170" t="s">
        <v>32</v>
      </c>
      <c r="L170" t="s">
        <v>33</v>
      </c>
      <c r="M170" t="s">
        <v>34</v>
      </c>
      <c r="N170" t="s">
        <v>394</v>
      </c>
      <c r="O170" t="s">
        <v>44</v>
      </c>
      <c r="P170" s="3">
        <v>360946.83610000001</v>
      </c>
      <c r="Q170" s="3">
        <v>0</v>
      </c>
      <c r="R170" s="4">
        <v>3.39E-2</v>
      </c>
      <c r="S170" s="3">
        <f>+Tabla9[[#This Row],[SAL_PROM_SOL]]</f>
        <v>360946.83610000001</v>
      </c>
      <c r="T170" s="4">
        <v>1.66E-2</v>
      </c>
      <c r="U170" s="4">
        <v>1.7299999999999999E-2</v>
      </c>
      <c r="V170" s="3">
        <v>1003.6001</v>
      </c>
      <c r="W170" s="3">
        <v>495.10340000000002</v>
      </c>
      <c r="X170" s="3">
        <v>508.49669999999998</v>
      </c>
      <c r="Y170" s="3">
        <v>0</v>
      </c>
      <c r="Z170" s="3">
        <v>508.49669999999998</v>
      </c>
      <c r="AA170">
        <v>30</v>
      </c>
      <c r="AB170" t="b">
        <f t="shared" si="142"/>
        <v>1</v>
      </c>
      <c r="AC170" s="3">
        <v>170000</v>
      </c>
      <c r="AD170" t="s">
        <v>46</v>
      </c>
      <c r="AE170" s="8">
        <v>46155.560022106481</v>
      </c>
      <c r="AF170" s="6">
        <f t="shared" ref="AF170" si="156">S170/AC170</f>
        <v>2.1232166829411767</v>
      </c>
      <c r="AG170" s="6" t="b">
        <f>+Tabla9[[#This Row],[CUMPLIMIENTO]]&lt;100%</f>
        <v>0</v>
      </c>
      <c r="AH170" s="12">
        <f>((( (Tabla9[[#This Row],[FTP_CIERRE_MES]]/100)+1)^(30/360) -1)*(36000/30))/36000</f>
        <v>9.2680593701059222E-5</v>
      </c>
      <c r="AI170" s="3">
        <f>Tabla9[[#This Row],[FTP_DIARIO]]*Tabla9[[#This Row],[SALDO_PROM_CORREGIDO]]*Tabla9[[#This Row],[DIAS]]</f>
        <v>1003.5830119280074</v>
      </c>
      <c r="AJ170" s="3">
        <f>Tabla9[[#This Row],[REAL_FTP_MONTO]]-Tabla9[[#This Row],[INT_REAL]]</f>
        <v>508.47961192800739</v>
      </c>
      <c r="AK170" s="3">
        <f>Tabla9[[#This Row],[FTP_DIARIO]]*Tabla9[[#This Row],[COMPROMISO]]*Tabla9[[#This Row],[DIAS]]</f>
        <v>472.67102787540199</v>
      </c>
      <c r="AL170" s="13">
        <f>((( (Tabla9[[#This Row],[TASA_INT]])+1)^(30/360) -1)*(36000/30))/36000</f>
        <v>4.576395868210644E-5</v>
      </c>
      <c r="AM170" s="3">
        <f>Tabla9[[#This Row],[TEA DIARIA]]*Tabla9[[#This Row],[SALDO_PROM_CORREGIDO]]*Tabla9[[#This Row],[DIAS]]</f>
        <v>495.55068281152342</v>
      </c>
      <c r="AN170" s="3">
        <f>Tabla9[[#This Row],[TEA DIARIA]]*Tabla9[[#This Row],[COMPROMISO]]*Tabla9[[#This Row],[DIAS]]</f>
        <v>233.39618927874284</v>
      </c>
      <c r="AO170" s="14">
        <f>+Tabla9[[#This Row],[PROYECTADO_FTP_MONTO]]-Tabla9[[#This Row],[PROYECCION_INTERES]]</f>
        <v>239.27483859665915</v>
      </c>
      <c r="AP170" s="3">
        <f>Tabla9[[#This Row],[PROYECCION_MARGEN(FTP - Int compromiso)]]-Tabla9[[#This Row],[REAL_MARGEN(FTP - Int)]]</f>
        <v>-269.20477333134824</v>
      </c>
    </row>
    <row r="171" spans="1:42" x14ac:dyDescent="0.35">
      <c r="A171">
        <v>202604</v>
      </c>
      <c r="B171" s="7">
        <v>46142</v>
      </c>
      <c r="C171">
        <v>11871591</v>
      </c>
      <c r="D171" t="s">
        <v>29</v>
      </c>
      <c r="E171" t="s">
        <v>35</v>
      </c>
      <c r="F171" t="s">
        <v>155</v>
      </c>
      <c r="G171" t="s">
        <v>35</v>
      </c>
      <c r="H171" t="s">
        <v>518</v>
      </c>
      <c r="I171" t="s">
        <v>244</v>
      </c>
      <c r="J171" t="str">
        <f t="shared" ref="J171" si="157">IF(I171="SOLES","4.4963","3.388")</f>
        <v>3.388</v>
      </c>
      <c r="K171" t="s">
        <v>32</v>
      </c>
      <c r="L171" t="s">
        <v>33</v>
      </c>
      <c r="M171" t="s">
        <v>34</v>
      </c>
      <c r="N171" t="s">
        <v>395</v>
      </c>
      <c r="O171" t="s">
        <v>44</v>
      </c>
      <c r="P171" s="3">
        <v>2339100.5887000002</v>
      </c>
      <c r="Q171" s="3">
        <v>2390933.1650999999</v>
      </c>
      <c r="R171" s="4">
        <v>3.39E-2</v>
      </c>
      <c r="S171" s="3">
        <f>+Tabla9[[#This Row],[SAL_PROM_SOL]]</f>
        <v>2339100.5887000002</v>
      </c>
      <c r="T171" s="4">
        <v>9.5999999999999992E-3</v>
      </c>
      <c r="U171" s="4">
        <v>2.4299999999999999E-2</v>
      </c>
      <c r="V171" s="3">
        <v>6503.6893</v>
      </c>
      <c r="W171" s="3">
        <v>1868.1029000000001</v>
      </c>
      <c r="X171" s="3">
        <v>4635.5864000000001</v>
      </c>
      <c r="Y171" s="3">
        <v>0</v>
      </c>
      <c r="Z171" s="3">
        <v>4635.5864000000001</v>
      </c>
      <c r="AA171">
        <v>22</v>
      </c>
      <c r="AB171" t="b">
        <f t="shared" si="142"/>
        <v>0</v>
      </c>
      <c r="AC171" s="3">
        <v>600000</v>
      </c>
      <c r="AD171" t="s">
        <v>45</v>
      </c>
      <c r="AE171" s="8">
        <v>46155.560022106481</v>
      </c>
      <c r="AF171" s="6">
        <f t="shared" ref="AF171" si="158">S171/AC171</f>
        <v>3.8985009811666669</v>
      </c>
      <c r="AG171" s="6" t="b">
        <f>+Tabla9[[#This Row],[CUMPLIMIENTO]]&lt;100%</f>
        <v>0</v>
      </c>
      <c r="AH171" s="12">
        <f>((( (Tabla9[[#This Row],[FTP_CIERRE_MES]]/100)+1)^(30/360) -1)*(36000/30))/36000</f>
        <v>9.2680593701059222E-5</v>
      </c>
      <c r="AI171" s="3">
        <f>Tabla9[[#This Row],[FTP_DIARIO]]*Tabla9[[#This Row],[SALDO_PROM_CORREGIDO]]*Tabla9[[#This Row],[DIAS]]</f>
        <v>4769.3630883186897</v>
      </c>
      <c r="AJ171" s="3">
        <f>Tabla9[[#This Row],[REAL_FTP_MONTO]]-Tabla9[[#This Row],[INT_REAL]]</f>
        <v>2901.2601883186899</v>
      </c>
      <c r="AK171" s="3">
        <f>Tabla9[[#This Row],[FTP_DIARIO]]*Tabla9[[#This Row],[COMPROMISO]]*Tabla9[[#This Row],[DIAS]]</f>
        <v>1223.3838368539818</v>
      </c>
      <c r="AL171" s="13">
        <f>((( (Tabla9[[#This Row],[TASA_INT]])+1)^(30/360) -1)*(36000/30))/36000</f>
        <v>2.6550047977854282E-5</v>
      </c>
      <c r="AM171" s="3">
        <f>Tabla9[[#This Row],[TEA DIARIA]]*Tabla9[[#This Row],[SALDO_PROM_CORREGIDO]]*Tabla9[[#This Row],[DIAS]]</f>
        <v>1366.2711228102685</v>
      </c>
      <c r="AN171" s="3">
        <f>Tabla9[[#This Row],[TEA DIARIA]]*Tabla9[[#This Row],[COMPROMISO]]*Tabla9[[#This Row],[DIAS]]</f>
        <v>350.46063330767652</v>
      </c>
      <c r="AO171" s="14">
        <f>+Tabla9[[#This Row],[PROYECTADO_FTP_MONTO]]-Tabla9[[#This Row],[PROYECCION_INTERES]]</f>
        <v>872.92320354630533</v>
      </c>
      <c r="AP171" s="3">
        <f>Tabla9[[#This Row],[PROYECCION_MARGEN(FTP - Int compromiso)]]-Tabla9[[#This Row],[REAL_MARGEN(FTP - Int)]]</f>
        <v>-2028.3369847723845</v>
      </c>
    </row>
    <row r="172" spans="1:42" x14ac:dyDescent="0.35">
      <c r="A172">
        <v>202604</v>
      </c>
      <c r="B172" s="7">
        <v>46142</v>
      </c>
      <c r="C172">
        <v>11874174</v>
      </c>
      <c r="D172" t="s">
        <v>29</v>
      </c>
      <c r="E172" t="s">
        <v>30</v>
      </c>
      <c r="F172" t="s">
        <v>156</v>
      </c>
      <c r="G172" t="s">
        <v>30</v>
      </c>
      <c r="H172" t="s">
        <v>506</v>
      </c>
      <c r="I172" t="s">
        <v>244</v>
      </c>
      <c r="J172" t="str">
        <f t="shared" ref="J172:J173" si="159">IF(I172="SOLES","4.4963","3.388")</f>
        <v>3.388</v>
      </c>
      <c r="K172" t="s">
        <v>32</v>
      </c>
      <c r="L172" t="s">
        <v>33</v>
      </c>
      <c r="M172" t="s">
        <v>34</v>
      </c>
      <c r="N172" t="s">
        <v>396</v>
      </c>
      <c r="O172" t="s">
        <v>44</v>
      </c>
      <c r="P172" s="3">
        <v>3439118.9471</v>
      </c>
      <c r="Q172" s="3">
        <v>14189556.3828</v>
      </c>
      <c r="R172" s="4">
        <v>3.39E-2</v>
      </c>
      <c r="S172" s="3">
        <f>+Tabla9[[#This Row],[SAL_PROM_SOL]]</f>
        <v>3439118.9471</v>
      </c>
      <c r="T172" s="4">
        <v>2.75E-2</v>
      </c>
      <c r="U172" s="4">
        <v>6.4000000000000003E-3</v>
      </c>
      <c r="V172" s="3">
        <v>9562.1749999999993</v>
      </c>
      <c r="W172" s="3">
        <v>7783.1081000000004</v>
      </c>
      <c r="X172" s="3">
        <v>1779.0669</v>
      </c>
      <c r="Y172" s="3">
        <v>0</v>
      </c>
      <c r="Z172" s="3">
        <v>1779.0669</v>
      </c>
      <c r="AA172">
        <v>30</v>
      </c>
      <c r="AB172" t="b">
        <f t="shared" si="142"/>
        <v>1</v>
      </c>
      <c r="AC172" s="3">
        <v>10000000</v>
      </c>
      <c r="AD172" t="s">
        <v>46</v>
      </c>
      <c r="AE172" s="8">
        <v>46155.560022106481</v>
      </c>
      <c r="AF172" s="6">
        <f t="shared" ref="AF172:AF173" si="160">S172/AC172</f>
        <v>0.34391189471</v>
      </c>
      <c r="AG172" s="6" t="b">
        <f>+Tabla9[[#This Row],[CUMPLIMIENTO]]&lt;100%</f>
        <v>1</v>
      </c>
      <c r="AH172" s="12">
        <f>((( (Tabla9[[#This Row],[FTP_CIERRE_MES]]/100)+1)^(30/360) -1)*(36000/30))/36000</f>
        <v>9.2680593701059222E-5</v>
      </c>
      <c r="AI172" s="3">
        <f>Tabla9[[#This Row],[FTP_DIARIO]]*Tabla9[[#This Row],[SALDO_PROM_CORREGIDO]]*Tabla9[[#This Row],[DIAS]]</f>
        <v>9562.1875747736904</v>
      </c>
      <c r="AJ172" s="3">
        <f>Tabla9[[#This Row],[REAL_FTP_MONTO]]-Tabla9[[#This Row],[INT_REAL]]</f>
        <v>1779.07947477369</v>
      </c>
      <c r="AK172" s="3">
        <f>Tabla9[[#This Row],[FTP_DIARIO]]*Tabla9[[#This Row],[COMPROMISO]]*Tabla9[[#This Row],[DIAS]]</f>
        <v>27804.178110317764</v>
      </c>
      <c r="AL172" s="13">
        <f>((( (Tabla9[[#This Row],[TASA_INT]])+1)^(30/360) -1)*(36000/30))/36000</f>
        <v>7.5442654725669609E-5</v>
      </c>
      <c r="AM172" s="3">
        <f>Tabla9[[#This Row],[TEA DIARIA]]*Tabla9[[#This Row],[SALDO_PROM_CORREGIDO]]*Tabla9[[#This Row],[DIAS]]</f>
        <v>7783.6878985972107</v>
      </c>
      <c r="AN172" s="3">
        <f>Tabla9[[#This Row],[TEA DIARIA]]*Tabla9[[#This Row],[COMPROMISO]]*Tabla9[[#This Row],[DIAS]]</f>
        <v>22632.79641770088</v>
      </c>
      <c r="AO172" s="14">
        <f>+Tabla9[[#This Row],[PROYECTADO_FTP_MONTO]]-Tabla9[[#This Row],[PROYECCION_INTERES]]</f>
        <v>5171.3816926168838</v>
      </c>
      <c r="AP172" s="3">
        <f>Tabla9[[#This Row],[PROYECCION_MARGEN(FTP - Int compromiso)]]-Tabla9[[#This Row],[REAL_MARGEN(FTP - Int)]]</f>
        <v>3392.3022178431938</v>
      </c>
    </row>
    <row r="173" spans="1:42" x14ac:dyDescent="0.35">
      <c r="A173">
        <v>202604</v>
      </c>
      <c r="B173" s="7">
        <v>46142</v>
      </c>
      <c r="C173">
        <v>11874174</v>
      </c>
      <c r="D173" t="s">
        <v>29</v>
      </c>
      <c r="E173" t="s">
        <v>30</v>
      </c>
      <c r="F173" t="s">
        <v>156</v>
      </c>
      <c r="G173" t="s">
        <v>30</v>
      </c>
      <c r="H173" t="s">
        <v>506</v>
      </c>
      <c r="I173" t="s">
        <v>243</v>
      </c>
      <c r="J173" t="str">
        <f t="shared" si="159"/>
        <v>4.4963</v>
      </c>
      <c r="K173" t="s">
        <v>32</v>
      </c>
      <c r="L173" t="s">
        <v>33</v>
      </c>
      <c r="M173" t="s">
        <v>31</v>
      </c>
      <c r="N173" t="s">
        <v>397</v>
      </c>
      <c r="O173" t="s">
        <v>44</v>
      </c>
      <c r="P173" s="3">
        <v>251122.2494</v>
      </c>
      <c r="Q173" s="3">
        <v>1810689.24</v>
      </c>
      <c r="R173" s="4">
        <v>4.4999999999999998E-2</v>
      </c>
      <c r="S173" s="3">
        <f>+Tabla9[[#This Row],[SAL_PROM_SOL]]</f>
        <v>251122.2494</v>
      </c>
      <c r="T173" s="4">
        <v>3.2000000000000001E-2</v>
      </c>
      <c r="U173" s="4">
        <v>1.2999999999999999E-2</v>
      </c>
      <c r="V173" s="3">
        <v>922.08019999999999</v>
      </c>
      <c r="W173" s="3">
        <v>660.01969999999994</v>
      </c>
      <c r="X173" s="3">
        <v>262.06049999999999</v>
      </c>
      <c r="Y173" s="3">
        <v>43.9499</v>
      </c>
      <c r="Z173" s="3">
        <v>218.11060000000001</v>
      </c>
      <c r="AA173">
        <v>30</v>
      </c>
      <c r="AB173" t="b">
        <f t="shared" si="142"/>
        <v>1</v>
      </c>
      <c r="AC173" s="3">
        <v>5000000</v>
      </c>
      <c r="AD173" t="s">
        <v>46</v>
      </c>
      <c r="AE173" s="8">
        <v>46155.560022106481</v>
      </c>
      <c r="AF173" s="6">
        <f t="shared" si="160"/>
        <v>5.0224449880000001E-2</v>
      </c>
      <c r="AG173" s="6" t="b">
        <f>+Tabla9[[#This Row],[CUMPLIMIENTO]]&lt;100%</f>
        <v>1</v>
      </c>
      <c r="AH173" s="12">
        <f>((( (Tabla9[[#This Row],[FTP_CIERRE_MES]]/100)+1)^(30/360) -1)*(36000/30))/36000</f>
        <v>1.2239493171416853E-4</v>
      </c>
      <c r="AI173" s="3">
        <f>Tabla9[[#This Row],[FTP_DIARIO]]*Tabla9[[#This Row],[SALDO_PROM_CORREGIDO]]*Tabla9[[#This Row],[DIAS]]</f>
        <v>922.08271701664194</v>
      </c>
      <c r="AJ173" s="3">
        <f>Tabla9[[#This Row],[REAL_FTP_MONTO]]-Tabla9[[#This Row],[INT_REAL]]</f>
        <v>262.06301701664199</v>
      </c>
      <c r="AK173" s="3">
        <f>Tabla9[[#This Row],[FTP_DIARIO]]*Tabla9[[#This Row],[COMPROMISO]]*Tabla9[[#This Row],[DIAS]]</f>
        <v>18359.23975712528</v>
      </c>
      <c r="AL173" s="13">
        <f>((( (Tabla9[[#This Row],[TASA_INT]])+1)^(30/360) -1)*(36000/30))/36000</f>
        <v>8.7611231959483507E-5</v>
      </c>
      <c r="AM173" s="3">
        <f>Tabla9[[#This Row],[TEA DIARIA]]*Tabla9[[#This Row],[SALDO_PROM_CORREGIDO]]*Tabla9[[#This Row],[DIAS]]</f>
        <v>660.03388927112007</v>
      </c>
      <c r="AN173" s="3">
        <f>Tabla9[[#This Row],[TEA DIARIA]]*Tabla9[[#This Row],[COMPROMISO]]*Tabla9[[#This Row],[DIAS]]</f>
        <v>13141.684793922526</v>
      </c>
      <c r="AO173" s="14">
        <f>+Tabla9[[#This Row],[PROYECTADO_FTP_MONTO]]-Tabla9[[#This Row],[PROYECCION_INTERES]]</f>
        <v>5217.5549632027542</v>
      </c>
      <c r="AP173" s="3">
        <f>Tabla9[[#This Row],[PROYECCION_MARGEN(FTP - Int compromiso)]]-Tabla9[[#This Row],[REAL_MARGEN(FTP - Int)]]</f>
        <v>4955.4919461861118</v>
      </c>
    </row>
    <row r="174" spans="1:42" x14ac:dyDescent="0.35">
      <c r="A174">
        <v>202604</v>
      </c>
      <c r="B174" s="7">
        <v>46142</v>
      </c>
      <c r="C174">
        <v>11876712</v>
      </c>
      <c r="D174" t="s">
        <v>42</v>
      </c>
      <c r="E174" t="s">
        <v>48</v>
      </c>
      <c r="F174" t="s">
        <v>157</v>
      </c>
      <c r="G174" t="s">
        <v>48</v>
      </c>
      <c r="H174" t="s">
        <v>521</v>
      </c>
      <c r="I174" t="s">
        <v>244</v>
      </c>
      <c r="J174" t="str">
        <f t="shared" ref="J174" si="161">IF(I174="SOLES","4.4963","3.388")</f>
        <v>3.388</v>
      </c>
      <c r="K174" t="s">
        <v>32</v>
      </c>
      <c r="L174" t="s">
        <v>33</v>
      </c>
      <c r="M174" t="s">
        <v>34</v>
      </c>
      <c r="N174" t="s">
        <v>311</v>
      </c>
      <c r="O174" t="s">
        <v>44</v>
      </c>
      <c r="P174" s="3">
        <v>8596064.3165000007</v>
      </c>
      <c r="Q174" s="3">
        <v>11291182.861</v>
      </c>
      <c r="R174" s="4">
        <v>3.39E-2</v>
      </c>
      <c r="S174" s="3">
        <f>+Tabla9[[#This Row],[SAL_PROM_SOL]]</f>
        <v>8596064.3165000007</v>
      </c>
      <c r="T174" s="4">
        <v>1.9400000000000001E-2</v>
      </c>
      <c r="U174" s="4">
        <v>1.4500000000000001E-2</v>
      </c>
      <c r="V174" s="3">
        <v>23900.6518</v>
      </c>
      <c r="W174" s="3">
        <v>13765.045099999999</v>
      </c>
      <c r="X174" s="3">
        <v>10135.6067</v>
      </c>
      <c r="Y174" s="3">
        <v>0</v>
      </c>
      <c r="Z174" s="3">
        <v>10135.6067</v>
      </c>
      <c r="AA174">
        <v>30</v>
      </c>
      <c r="AB174" t="b">
        <f t="shared" si="142"/>
        <v>1</v>
      </c>
      <c r="AC174" s="3">
        <v>1000000</v>
      </c>
      <c r="AD174" t="s">
        <v>46</v>
      </c>
      <c r="AE174" s="8">
        <v>46155.560022106481</v>
      </c>
      <c r="AF174" s="6">
        <f t="shared" ref="AF174" si="162">S174/AC174</f>
        <v>8.5960643165000015</v>
      </c>
      <c r="AG174" s="6" t="b">
        <f>+Tabla9[[#This Row],[CUMPLIMIENTO]]&lt;100%</f>
        <v>0</v>
      </c>
      <c r="AH174" s="12">
        <f>((( (Tabla9[[#This Row],[FTP_CIERRE_MES]]/100)+1)^(30/360) -1)*(36000/30))/36000</f>
        <v>9.2680593701059222E-5</v>
      </c>
      <c r="AI174" s="3">
        <f>Tabla9[[#This Row],[FTP_DIARIO]]*Tabla9[[#This Row],[SALDO_PROM_CORREGIDO]]*Tabla9[[#This Row],[DIAS]]</f>
        <v>23900.650330371296</v>
      </c>
      <c r="AJ174" s="3">
        <f>Tabla9[[#This Row],[REAL_FTP_MONTO]]-Tabla9[[#This Row],[INT_REAL]]</f>
        <v>10135.605230371297</v>
      </c>
      <c r="AK174" s="3">
        <f>Tabla9[[#This Row],[FTP_DIARIO]]*Tabla9[[#This Row],[COMPROMISO]]*Tabla9[[#This Row],[DIAS]]</f>
        <v>2780.4178110317766</v>
      </c>
      <c r="AL174" s="13">
        <f>((( (Tabla9[[#This Row],[TASA_INT]])+1)^(30/360) -1)*(36000/30))/36000</f>
        <v>5.3415583044465663E-5</v>
      </c>
      <c r="AM174" s="3">
        <f>Tabla9[[#This Row],[TEA DIARIA]]*Tabla9[[#This Row],[SALDO_PROM_CORREGIDO]]*Tabla9[[#This Row],[DIAS]]</f>
        <v>13774.913620607213</v>
      </c>
      <c r="AN174" s="3">
        <f>Tabla9[[#This Row],[TEA DIARIA]]*Tabla9[[#This Row],[COMPROMISO]]*Tabla9[[#This Row],[DIAS]]</f>
        <v>1602.46749133397</v>
      </c>
      <c r="AO174" s="14">
        <f>+Tabla9[[#This Row],[PROYECTADO_FTP_MONTO]]-Tabla9[[#This Row],[PROYECCION_INTERES]]</f>
        <v>1177.9503196978067</v>
      </c>
      <c r="AP174" s="3">
        <f>Tabla9[[#This Row],[PROYECCION_MARGEN(FTP - Int compromiso)]]-Tabla9[[#This Row],[REAL_MARGEN(FTP - Int)]]</f>
        <v>-8957.6549106734892</v>
      </c>
    </row>
    <row r="175" spans="1:42" x14ac:dyDescent="0.35">
      <c r="A175">
        <v>202604</v>
      </c>
      <c r="B175" s="7">
        <v>46142</v>
      </c>
      <c r="C175">
        <v>12122801</v>
      </c>
      <c r="D175" t="s">
        <v>36</v>
      </c>
      <c r="E175" t="s">
        <v>38</v>
      </c>
      <c r="F175" t="s">
        <v>158</v>
      </c>
      <c r="G175" t="s">
        <v>38</v>
      </c>
      <c r="H175" t="s">
        <v>507</v>
      </c>
      <c r="I175" t="s">
        <v>243</v>
      </c>
      <c r="J175" t="str">
        <f t="shared" ref="J175" si="163">IF(I175="SOLES","4.4963","3.388")</f>
        <v>4.4963</v>
      </c>
      <c r="K175" t="s">
        <v>32</v>
      </c>
      <c r="L175" t="s">
        <v>33</v>
      </c>
      <c r="M175" t="s">
        <v>31</v>
      </c>
      <c r="N175" t="s">
        <v>398</v>
      </c>
      <c r="O175" t="s">
        <v>44</v>
      </c>
      <c r="P175" s="3">
        <v>707708.20929999999</v>
      </c>
      <c r="Q175" s="3">
        <v>707389.82</v>
      </c>
      <c r="R175" s="4">
        <v>4.4999999999999998E-2</v>
      </c>
      <c r="S175" s="3">
        <f>+Tabla9[[#This Row],[SAL_PROM_SOL]]</f>
        <v>707708.20929999999</v>
      </c>
      <c r="T175" s="4">
        <v>1.2999999999999999E-3</v>
      </c>
      <c r="U175" s="4">
        <v>4.3700000000000003E-2</v>
      </c>
      <c r="V175" s="3">
        <v>2598.6008000000002</v>
      </c>
      <c r="W175" s="3">
        <v>77.040599999999998</v>
      </c>
      <c r="X175" s="3">
        <v>2521.5601999999999</v>
      </c>
      <c r="Y175" s="3">
        <v>43.9499</v>
      </c>
      <c r="Z175" s="3">
        <v>2477.6102999999998</v>
      </c>
      <c r="AA175">
        <v>2</v>
      </c>
      <c r="AB175" t="b">
        <f t="shared" si="142"/>
        <v>0</v>
      </c>
      <c r="AC175" s="3">
        <v>300000000</v>
      </c>
      <c r="AD175" t="s">
        <v>46</v>
      </c>
      <c r="AE175" s="8">
        <v>46155.560022106481</v>
      </c>
      <c r="AF175" s="6">
        <f t="shared" ref="AF175" si="164">S175/AC175</f>
        <v>2.3590273643333331E-3</v>
      </c>
      <c r="AG175" s="6" t="b">
        <f>+Tabla9[[#This Row],[CUMPLIMIENTO]]&lt;100%</f>
        <v>1</v>
      </c>
      <c r="AH175" s="12">
        <f>((( (Tabla9[[#This Row],[FTP_CIERRE_MES]]/100)+1)^(30/360) -1)*(36000/30))/36000</f>
        <v>1.2239493171416853E-4</v>
      </c>
      <c r="AI175" s="3">
        <f>Tabla9[[#This Row],[FTP_DIARIO]]*Tabla9[[#This Row],[SALDO_PROM_CORREGIDO]]*Tabla9[[#This Row],[DIAS]]</f>
        <v>173.23979590165996</v>
      </c>
      <c r="AJ175" s="3">
        <f>Tabla9[[#This Row],[REAL_FTP_MONTO]]-Tabla9[[#This Row],[INT_REAL]]</f>
        <v>96.199195901659962</v>
      </c>
      <c r="AK175" s="3">
        <f>Tabla9[[#This Row],[FTP_DIARIO]]*Tabla9[[#This Row],[COMPROMISO]]*Tabla9[[#This Row],[DIAS]]</f>
        <v>73436.959028501122</v>
      </c>
      <c r="AL175" s="13">
        <f>((( (Tabla9[[#This Row],[TASA_INT]])+1)^(30/360) -1)*(36000/30))/36000</f>
        <v>3.6089612760914493E-6</v>
      </c>
      <c r="AM175" s="3">
        <f>Tabla9[[#This Row],[TEA DIARIA]]*Tabla9[[#This Row],[SALDO_PROM_CORREGIDO]]*Tabla9[[#This Row],[DIAS]]</f>
        <v>5.1081830442714447</v>
      </c>
      <c r="AN175" s="3">
        <f>Tabla9[[#This Row],[TEA DIARIA]]*Tabla9[[#This Row],[COMPROMISO]]*Tabla9[[#This Row],[DIAS]]</f>
        <v>2165.3767656548694</v>
      </c>
      <c r="AO175" s="14">
        <f>+Tabla9[[#This Row],[PROYECTADO_FTP_MONTO]]-Tabla9[[#This Row],[PROYECCION_INTERES]]</f>
        <v>71271.582262846248</v>
      </c>
      <c r="AP175" s="3">
        <f>Tabla9[[#This Row],[PROYECCION_MARGEN(FTP - Int compromiso)]]-Tabla9[[#This Row],[REAL_MARGEN(FTP - Int)]]</f>
        <v>71175.383066944589</v>
      </c>
    </row>
    <row r="176" spans="1:42" x14ac:dyDescent="0.35">
      <c r="A176">
        <v>202604</v>
      </c>
      <c r="B176" s="7">
        <v>46142</v>
      </c>
      <c r="C176">
        <v>12210675</v>
      </c>
      <c r="D176" t="s">
        <v>42</v>
      </c>
      <c r="E176" t="s">
        <v>43</v>
      </c>
      <c r="F176" t="s">
        <v>159</v>
      </c>
      <c r="G176" t="s">
        <v>43</v>
      </c>
      <c r="H176" t="s">
        <v>522</v>
      </c>
      <c r="I176" t="s">
        <v>244</v>
      </c>
      <c r="J176" t="str">
        <f t="shared" ref="J176" si="165">IF(I176="SOLES","4.4963","3.388")</f>
        <v>3.388</v>
      </c>
      <c r="K176" t="s">
        <v>32</v>
      </c>
      <c r="L176" t="s">
        <v>33</v>
      </c>
      <c r="M176" t="s">
        <v>34</v>
      </c>
      <c r="N176" t="s">
        <v>399</v>
      </c>
      <c r="O176" t="s">
        <v>44</v>
      </c>
      <c r="P176" s="3">
        <v>2393274.8509</v>
      </c>
      <c r="Q176" s="3">
        <v>5592.6630999999998</v>
      </c>
      <c r="R176" s="4">
        <v>3.39E-2</v>
      </c>
      <c r="S176" s="3">
        <f>+Tabla9[[#This Row],[SAL_PROM_SOL]]</f>
        <v>2393274.8509</v>
      </c>
      <c r="T176" s="4">
        <v>1.24E-2</v>
      </c>
      <c r="U176" s="4">
        <v>2.1499999999999998E-2</v>
      </c>
      <c r="V176" s="3">
        <v>6654.3204999999998</v>
      </c>
      <c r="W176" s="3">
        <v>2452.8964999999998</v>
      </c>
      <c r="X176" s="3">
        <v>4201.424</v>
      </c>
      <c r="Y176" s="3">
        <v>2.0657999999999999</v>
      </c>
      <c r="Z176" s="3">
        <v>4199.3581999999997</v>
      </c>
      <c r="AA176">
        <v>26</v>
      </c>
      <c r="AB176" t="b">
        <f t="shared" si="142"/>
        <v>0</v>
      </c>
      <c r="AC176" s="3">
        <v>1100000</v>
      </c>
      <c r="AD176" t="s">
        <v>46</v>
      </c>
      <c r="AE176" s="8">
        <v>46155.560022106481</v>
      </c>
      <c r="AF176" s="6">
        <f t="shared" ref="AF176" si="166">S176/AC176</f>
        <v>2.1757044099090908</v>
      </c>
      <c r="AG176" s="6" t="b">
        <f>+Tabla9[[#This Row],[CUMPLIMIENTO]]&lt;100%</f>
        <v>0</v>
      </c>
      <c r="AH176" s="12">
        <f>((( (Tabla9[[#This Row],[FTP_CIERRE_MES]]/100)+1)^(30/360) -1)*(36000/30))/36000</f>
        <v>9.2680593701059222E-5</v>
      </c>
      <c r="AI176" s="3">
        <f>Tabla9[[#This Row],[FTP_DIARIO]]*Tabla9[[#This Row],[SALDO_PROM_CORREGIDO]]*Tabla9[[#This Row],[DIAS]]</f>
        <v>5767.0634858518752</v>
      </c>
      <c r="AJ176" s="3">
        <f>Tabla9[[#This Row],[REAL_FTP_MONTO]]-Tabla9[[#This Row],[INT_REAL]]</f>
        <v>3314.1669858518753</v>
      </c>
      <c r="AK176" s="3">
        <f>Tabla9[[#This Row],[FTP_DIARIO]]*Tabla9[[#This Row],[COMPROMISO]]*Tabla9[[#This Row],[DIAS]]</f>
        <v>2650.6649798502935</v>
      </c>
      <c r="AL176" s="13">
        <f>((( (Tabla9[[#This Row],[TASA_INT]])+1)^(30/360) -1)*(36000/30))/36000</f>
        <v>3.4250222146114952E-5</v>
      </c>
      <c r="AM176" s="3">
        <f>Tabla9[[#This Row],[TEA DIARIA]]*Tabla9[[#This Row],[SALDO_PROM_CORREGIDO]]*Tabla9[[#This Row],[DIAS]]</f>
        <v>2131.2250778009138</v>
      </c>
      <c r="AN176" s="3">
        <f>Tabla9[[#This Row],[TEA DIARIA]]*Tabla9[[#This Row],[COMPROMISO]]*Tabla9[[#This Row],[DIAS]]</f>
        <v>979.55635337888759</v>
      </c>
      <c r="AO176" s="14">
        <f>+Tabla9[[#This Row],[PROYECTADO_FTP_MONTO]]-Tabla9[[#This Row],[PROYECCION_INTERES]]</f>
        <v>1671.1086264714058</v>
      </c>
      <c r="AP176" s="3">
        <f>Tabla9[[#This Row],[PROYECCION_MARGEN(FTP - Int compromiso)]]-Tabla9[[#This Row],[REAL_MARGEN(FTP - Int)]]</f>
        <v>-1643.0583593804695</v>
      </c>
    </row>
    <row r="177" spans="1:42" x14ac:dyDescent="0.35">
      <c r="A177">
        <v>202604</v>
      </c>
      <c r="B177" s="7">
        <v>46142</v>
      </c>
      <c r="C177">
        <v>12345147</v>
      </c>
      <c r="D177" t="s">
        <v>36</v>
      </c>
      <c r="E177" t="s">
        <v>38</v>
      </c>
      <c r="F177" t="s">
        <v>160</v>
      </c>
      <c r="G177" t="s">
        <v>38</v>
      </c>
      <c r="H177" t="s">
        <v>501</v>
      </c>
      <c r="I177" t="s">
        <v>243</v>
      </c>
      <c r="J177" t="str">
        <f t="shared" ref="J177" si="167">IF(I177="SOLES","4.4963","3.388")</f>
        <v>4.4963</v>
      </c>
      <c r="K177" t="s">
        <v>32</v>
      </c>
      <c r="L177" t="s">
        <v>33</v>
      </c>
      <c r="M177" t="s">
        <v>31</v>
      </c>
      <c r="N177" t="s">
        <v>400</v>
      </c>
      <c r="O177" t="s">
        <v>44</v>
      </c>
      <c r="P177" s="3">
        <v>10075454.4088</v>
      </c>
      <c r="Q177" s="3">
        <v>1087316.8600000001</v>
      </c>
      <c r="R177" s="4">
        <v>4.4999999999999998E-2</v>
      </c>
      <c r="S177" s="3">
        <f>+Tabla9[[#This Row],[SAL_PROM_SOL]]</f>
        <v>10075454.4088</v>
      </c>
      <c r="T177" s="4">
        <v>3.8600000000000002E-2</v>
      </c>
      <c r="U177" s="4">
        <v>6.4000000000000003E-3</v>
      </c>
      <c r="V177" s="3">
        <v>36995.541100000002</v>
      </c>
      <c r="W177" s="3">
        <v>31850.9107</v>
      </c>
      <c r="X177" s="3">
        <v>5144.6304</v>
      </c>
      <c r="Y177" s="3">
        <v>43.9499</v>
      </c>
      <c r="Z177" s="3">
        <v>5100.6805000000004</v>
      </c>
      <c r="AA177">
        <v>30</v>
      </c>
      <c r="AB177" t="b">
        <f t="shared" si="142"/>
        <v>1</v>
      </c>
      <c r="AC177" s="3">
        <v>5000000</v>
      </c>
      <c r="AD177" t="s">
        <v>46</v>
      </c>
      <c r="AE177" s="8">
        <v>46155.560022106481</v>
      </c>
      <c r="AF177" s="6">
        <f t="shared" ref="AF177:AF178" si="168">S177/AC177</f>
        <v>2.01509088176</v>
      </c>
      <c r="AG177" s="6" t="b">
        <f>+Tabla9[[#This Row],[CUMPLIMIENTO]]&lt;100%</f>
        <v>0</v>
      </c>
      <c r="AH177" s="12">
        <f>((( (Tabla9[[#This Row],[FTP_CIERRE_MES]]/100)+1)^(30/360) -1)*(36000/30))/36000</f>
        <v>1.2239493171416853E-4</v>
      </c>
      <c r="AI177" s="3">
        <f>Tabla9[[#This Row],[FTP_DIARIO]]*Tabla9[[#This Row],[SALDO_PROM_CORREGIDO]]*Tabla9[[#This Row],[DIAS]]</f>
        <v>36995.536630628827</v>
      </c>
      <c r="AJ177" s="3">
        <f>Tabla9[[#This Row],[REAL_FTP_MONTO]]-Tabla9[[#This Row],[INT_REAL]]</f>
        <v>5144.6259306288266</v>
      </c>
      <c r="AK177" s="3">
        <f>Tabla9[[#This Row],[FTP_DIARIO]]*Tabla9[[#This Row],[COMPROMISO]]*Tabla9[[#This Row],[DIAS]]</f>
        <v>18359.23975712528</v>
      </c>
      <c r="AL177" s="13">
        <f>((( (Tabla9[[#This Row],[TASA_INT]])+1)^(30/360) -1)*(36000/30))/36000</f>
        <v>1.0537078496325828E-4</v>
      </c>
      <c r="AM177" s="3">
        <f>Tabla9[[#This Row],[TEA DIARIA]]*Tabla9[[#This Row],[SALDO_PROM_CORREGIDO]]*Tabla9[[#This Row],[DIAS]]</f>
        <v>31849.756197503324</v>
      </c>
      <c r="AN177" s="3">
        <f>Tabla9[[#This Row],[TEA DIARIA]]*Tabla9[[#This Row],[COMPROMISO]]*Tabla9[[#This Row],[DIAS]]</f>
        <v>15805.617744488742</v>
      </c>
      <c r="AO177" s="14">
        <f>+Tabla9[[#This Row],[PROYECTADO_FTP_MONTO]]-Tabla9[[#This Row],[PROYECCION_INTERES]]</f>
        <v>2553.6220126365388</v>
      </c>
      <c r="AP177" s="3">
        <f>Tabla9[[#This Row],[PROYECCION_MARGEN(FTP - Int compromiso)]]-Tabla9[[#This Row],[REAL_MARGEN(FTP - Int)]]</f>
        <v>-2591.0039179922878</v>
      </c>
    </row>
    <row r="178" spans="1:42" x14ac:dyDescent="0.35">
      <c r="A178">
        <v>202604</v>
      </c>
      <c r="B178" s="7">
        <v>46142</v>
      </c>
      <c r="C178">
        <v>12345147</v>
      </c>
      <c r="D178" t="s">
        <v>36</v>
      </c>
      <c r="E178" t="s">
        <v>38</v>
      </c>
      <c r="F178" t="s">
        <v>160</v>
      </c>
      <c r="G178" t="s">
        <v>38</v>
      </c>
      <c r="H178" t="s">
        <v>501</v>
      </c>
      <c r="I178" t="s">
        <v>244</v>
      </c>
      <c r="J178" t="str">
        <f t="shared" ref="J178" si="169">IF(I178="SOLES","4.4963","3.388")</f>
        <v>3.388</v>
      </c>
      <c r="K178" t="s">
        <v>32</v>
      </c>
      <c r="L178" t="s">
        <v>33</v>
      </c>
      <c r="M178" t="s">
        <v>34</v>
      </c>
      <c r="N178" t="s">
        <v>401</v>
      </c>
      <c r="O178" t="s">
        <v>44</v>
      </c>
      <c r="P178" s="3">
        <v>44002072.425499998</v>
      </c>
      <c r="Q178" s="3">
        <v>133212857.85089999</v>
      </c>
      <c r="R178" s="4">
        <v>3.39E-2</v>
      </c>
      <c r="S178" s="3">
        <f>+Tabla9[[#This Row],[SAL_PROM_SOL]]</f>
        <v>44002072.425499998</v>
      </c>
      <c r="T178" s="4">
        <v>3.2300000000000002E-2</v>
      </c>
      <c r="U178" s="4">
        <v>1.6000000000000001E-3</v>
      </c>
      <c r="V178" s="3">
        <v>122344.1473</v>
      </c>
      <c r="W178" s="3">
        <v>116710.5386</v>
      </c>
      <c r="X178" s="3">
        <v>5633.6086999999998</v>
      </c>
      <c r="Y178" s="3">
        <v>0</v>
      </c>
      <c r="Z178" s="3">
        <v>5633.6086999999998</v>
      </c>
      <c r="AA178">
        <v>28</v>
      </c>
      <c r="AB178" t="b">
        <f t="shared" si="142"/>
        <v>0</v>
      </c>
      <c r="AC178" s="3">
        <v>3000000</v>
      </c>
      <c r="AD178" t="s">
        <v>46</v>
      </c>
      <c r="AE178" s="8">
        <v>46155.560022106481</v>
      </c>
      <c r="AF178" s="6">
        <f t="shared" si="168"/>
        <v>14.667357475166666</v>
      </c>
      <c r="AG178" s="6" t="b">
        <f>+Tabla9[[#This Row],[CUMPLIMIENTO]]&lt;100%</f>
        <v>0</v>
      </c>
      <c r="AH178" s="12">
        <f>((( (Tabla9[[#This Row],[FTP_CIERRE_MES]]/100)+1)^(30/360) -1)*(36000/30))/36000</f>
        <v>9.2680593701059222E-5</v>
      </c>
      <c r="AI178" s="3">
        <f>Tabla9[[#This Row],[FTP_DIARIO]]*Tabla9[[#This Row],[SALDO_PROM_CORREGIDO]]*Tabla9[[#This Row],[DIAS]]</f>
        <v>114187.86950122571</v>
      </c>
      <c r="AJ178" s="3">
        <f>Tabla9[[#This Row],[REAL_FTP_MONTO]]-Tabla9[[#This Row],[INT_REAL]]</f>
        <v>-2522.6690987742913</v>
      </c>
      <c r="AK178" s="3">
        <f>Tabla9[[#This Row],[FTP_DIARIO]]*Tabla9[[#This Row],[COMPROMISO]]*Tabla9[[#This Row],[DIAS]]</f>
        <v>7785.1698708889744</v>
      </c>
      <c r="AL178" s="13">
        <f>((( (Tabla9[[#This Row],[TASA_INT]])+1)^(30/360) -1)*(36000/30))/36000</f>
        <v>8.8420740014346266E-5</v>
      </c>
      <c r="AM178" s="3">
        <f>Tabla9[[#This Row],[TEA DIARIA]]*Tabla9[[#This Row],[SALDO_PROM_CORREGIDO]]*Tabla9[[#This Row],[DIAS]]</f>
        <v>108939.48256877196</v>
      </c>
      <c r="AN178" s="3">
        <f>Tabla9[[#This Row],[TEA DIARIA]]*Tabla9[[#This Row],[COMPROMISO]]*Tabla9[[#This Row],[DIAS]]</f>
        <v>7427.3421612050861</v>
      </c>
      <c r="AO178" s="14">
        <f>+Tabla9[[#This Row],[PROYECTADO_FTP_MONTO]]-Tabla9[[#This Row],[PROYECCION_INTERES]]</f>
        <v>357.82770968388832</v>
      </c>
      <c r="AP178" s="3">
        <f>Tabla9[[#This Row],[PROYECCION_MARGEN(FTP - Int compromiso)]]-Tabla9[[#This Row],[REAL_MARGEN(FTP - Int)]]</f>
        <v>2880.4968084581797</v>
      </c>
    </row>
    <row r="179" spans="1:42" x14ac:dyDescent="0.35">
      <c r="A179">
        <v>202604</v>
      </c>
      <c r="B179" s="7">
        <v>46142</v>
      </c>
      <c r="C179">
        <v>12409677</v>
      </c>
      <c r="D179" t="s">
        <v>36</v>
      </c>
      <c r="E179" t="s">
        <v>37</v>
      </c>
      <c r="F179" t="s">
        <v>161</v>
      </c>
      <c r="G179" t="s">
        <v>37</v>
      </c>
      <c r="H179" t="s">
        <v>498</v>
      </c>
      <c r="I179" t="s">
        <v>244</v>
      </c>
      <c r="J179" t="str">
        <f t="shared" ref="J179" si="170">IF(I179="SOLES","4.4963","3.388")</f>
        <v>3.388</v>
      </c>
      <c r="K179" t="s">
        <v>32</v>
      </c>
      <c r="L179" t="s">
        <v>33</v>
      </c>
      <c r="M179" t="s">
        <v>34</v>
      </c>
      <c r="N179" t="s">
        <v>402</v>
      </c>
      <c r="O179" t="s">
        <v>44</v>
      </c>
      <c r="P179" s="3">
        <v>19114299.033399999</v>
      </c>
      <c r="Q179" s="3">
        <v>7141682.8377999999</v>
      </c>
      <c r="R179" s="4">
        <v>3.39E-2</v>
      </c>
      <c r="S179" s="3">
        <f>+Tabla9[[#This Row],[SAL_PROM_SOL]]</f>
        <v>19114299.033399999</v>
      </c>
      <c r="T179" s="4">
        <v>1.3100000000000001E-2</v>
      </c>
      <c r="U179" s="4">
        <v>2.0799999999999999E-2</v>
      </c>
      <c r="V179" s="3">
        <v>53145.734799999998</v>
      </c>
      <c r="W179" s="3">
        <v>20680.1041</v>
      </c>
      <c r="X179" s="3">
        <v>32465.630700000002</v>
      </c>
      <c r="Y179" s="3">
        <v>0</v>
      </c>
      <c r="Z179" s="3">
        <v>32465.630700000002</v>
      </c>
      <c r="AA179">
        <v>30</v>
      </c>
      <c r="AB179" t="b">
        <f t="shared" si="142"/>
        <v>1</v>
      </c>
      <c r="AC179" s="3">
        <v>0</v>
      </c>
      <c r="AD179" t="s">
        <v>46</v>
      </c>
      <c r="AE179" s="8">
        <v>46155.560022106481</v>
      </c>
      <c r="AF179" s="6" t="e">
        <f t="shared" ref="AF179" si="171">S179/AC179</f>
        <v>#DIV/0!</v>
      </c>
      <c r="AG179" s="6" t="e">
        <f>+Tabla9[[#This Row],[CUMPLIMIENTO]]&lt;100%</f>
        <v>#DIV/0!</v>
      </c>
      <c r="AH179" s="12">
        <f>((( (Tabla9[[#This Row],[FTP_CIERRE_MES]]/100)+1)^(30/360) -1)*(36000/30))/36000</f>
        <v>9.2680593701059222E-5</v>
      </c>
      <c r="AI179" s="3">
        <f>Tabla9[[#This Row],[FTP_DIARIO]]*Tabla9[[#This Row],[SALDO_PROM_CORREGIDO]]*Tabla9[[#This Row],[DIAS]]</f>
        <v>53145.737477852832</v>
      </c>
      <c r="AJ179" s="3">
        <f>Tabla9[[#This Row],[REAL_FTP_MONTO]]-Tabla9[[#This Row],[INT_REAL]]</f>
        <v>32465.633377852831</v>
      </c>
      <c r="AK179" s="3">
        <f>Tabla9[[#This Row],[FTP_DIARIO]]*Tabla9[[#This Row],[COMPROMISO]]*Tabla9[[#This Row],[DIAS]]</f>
        <v>0</v>
      </c>
      <c r="AL179" s="13">
        <f>((( (Tabla9[[#This Row],[TASA_INT]])+1)^(30/360) -1)*(36000/30))/36000</f>
        <v>3.6172215243287141E-5</v>
      </c>
      <c r="AM179" s="3">
        <f>Tabla9[[#This Row],[TEA DIARIA]]*Tabla9[[#This Row],[SALDO_PROM_CORREGIDO]]*Tabla9[[#This Row],[DIAS]]</f>
        <v>20742.196165821006</v>
      </c>
      <c r="AN179" s="3">
        <f>Tabla9[[#This Row],[TEA DIARIA]]*Tabla9[[#This Row],[COMPROMISO]]*Tabla9[[#This Row],[DIAS]]</f>
        <v>0</v>
      </c>
      <c r="AO179" s="14">
        <f>+Tabla9[[#This Row],[PROYECTADO_FTP_MONTO]]-Tabla9[[#This Row],[PROYECCION_INTERES]]</f>
        <v>0</v>
      </c>
      <c r="AP179" s="3">
        <f>Tabla9[[#This Row],[PROYECCION_MARGEN(FTP - Int compromiso)]]-Tabla9[[#This Row],[REAL_MARGEN(FTP - Int)]]</f>
        <v>-32465.633377852831</v>
      </c>
    </row>
    <row r="180" spans="1:42" x14ac:dyDescent="0.35">
      <c r="A180">
        <v>202604</v>
      </c>
      <c r="B180" s="7">
        <v>46142</v>
      </c>
      <c r="C180">
        <v>12570511</v>
      </c>
      <c r="D180" t="s">
        <v>29</v>
      </c>
      <c r="E180" t="s">
        <v>35</v>
      </c>
      <c r="F180" t="s">
        <v>162</v>
      </c>
      <c r="G180" t="s">
        <v>35</v>
      </c>
      <c r="H180" t="s">
        <v>520</v>
      </c>
      <c r="I180" t="s">
        <v>244</v>
      </c>
      <c r="J180" t="str">
        <f t="shared" ref="J180" si="172">IF(I180="SOLES","4.4963","3.388")</f>
        <v>3.388</v>
      </c>
      <c r="K180" t="s">
        <v>32</v>
      </c>
      <c r="L180" t="s">
        <v>33</v>
      </c>
      <c r="M180" t="s">
        <v>34</v>
      </c>
      <c r="N180" t="s">
        <v>403</v>
      </c>
      <c r="O180" t="s">
        <v>44</v>
      </c>
      <c r="P180" s="3">
        <v>2286667.0384</v>
      </c>
      <c r="Q180" s="3">
        <v>2315401.5806999998</v>
      </c>
      <c r="R180" s="4">
        <v>3.39E-2</v>
      </c>
      <c r="S180" s="3">
        <f>+Tabla9[[#This Row],[SAL_PROM_SOL]]</f>
        <v>2286667.0384</v>
      </c>
      <c r="T180" s="4">
        <v>1.4999999999999999E-2</v>
      </c>
      <c r="U180" s="4">
        <v>1.89E-2</v>
      </c>
      <c r="V180" s="3">
        <v>6357.8782000000001</v>
      </c>
      <c r="W180" s="3">
        <v>2838.7534999999998</v>
      </c>
      <c r="X180" s="3">
        <v>3519.1246999999998</v>
      </c>
      <c r="Y180" s="3">
        <v>22.448399999999999</v>
      </c>
      <c r="Z180" s="3">
        <v>3496.6763000000001</v>
      </c>
      <c r="AA180">
        <v>30</v>
      </c>
      <c r="AB180" t="b">
        <f t="shared" si="142"/>
        <v>1</v>
      </c>
      <c r="AC180" s="3">
        <v>640000</v>
      </c>
      <c r="AD180" t="s">
        <v>46</v>
      </c>
      <c r="AE180" s="8">
        <v>46155.560022106481</v>
      </c>
      <c r="AF180" s="6">
        <f t="shared" ref="AF180" si="173">S180/AC180</f>
        <v>3.5729172474999999</v>
      </c>
      <c r="AG180" s="6" t="b">
        <f>+Tabla9[[#This Row],[CUMPLIMIENTO]]&lt;100%</f>
        <v>0</v>
      </c>
      <c r="AH180" s="12">
        <f>((( (Tabla9[[#This Row],[FTP_CIERRE_MES]]/100)+1)^(30/360) -1)*(36000/30))/36000</f>
        <v>9.2680593701059222E-5</v>
      </c>
      <c r="AI180" s="3">
        <f>Tabla9[[#This Row],[FTP_DIARIO]]*Tabla9[[#This Row],[SALDO_PROM_CORREGIDO]]*Tabla9[[#This Row],[DIAS]]</f>
        <v>6357.889761466643</v>
      </c>
      <c r="AJ180" s="3">
        <f>Tabla9[[#This Row],[REAL_FTP_MONTO]]-Tabla9[[#This Row],[INT_REAL]]</f>
        <v>3519.1362614666432</v>
      </c>
      <c r="AK180" s="3">
        <f>Tabla9[[#This Row],[FTP_DIARIO]]*Tabla9[[#This Row],[COMPROMISO]]*Tabla9[[#This Row],[DIAS]]</f>
        <v>1779.4673990603371</v>
      </c>
      <c r="AL180" s="13">
        <f>((( (Tabla9[[#This Row],[TASA_INT]])+1)^(30/360) -1)*(36000/30))/36000</f>
        <v>4.1382923881642479E-5</v>
      </c>
      <c r="AM180" s="3">
        <f>Tabla9[[#This Row],[TEA DIARIA]]*Tabla9[[#This Row],[SALDO_PROM_CORREGIDO]]*Tabla9[[#This Row],[DIAS]]</f>
        <v>2838.869039783041</v>
      </c>
      <c r="AN180" s="3">
        <f>Tabla9[[#This Row],[TEA DIARIA]]*Tabla9[[#This Row],[COMPROMISO]]*Tabla9[[#This Row],[DIAS]]</f>
        <v>794.55213852753559</v>
      </c>
      <c r="AO180" s="14">
        <f>+Tabla9[[#This Row],[PROYECTADO_FTP_MONTO]]-Tabla9[[#This Row],[PROYECCION_INTERES]]</f>
        <v>984.91526053280154</v>
      </c>
      <c r="AP180" s="3">
        <f>Tabla9[[#This Row],[PROYECCION_MARGEN(FTP - Int compromiso)]]-Tabla9[[#This Row],[REAL_MARGEN(FTP - Int)]]</f>
        <v>-2534.2210009338414</v>
      </c>
    </row>
    <row r="181" spans="1:42" x14ac:dyDescent="0.35">
      <c r="A181">
        <v>202604</v>
      </c>
      <c r="B181" s="7">
        <v>46142</v>
      </c>
      <c r="C181">
        <v>12585396</v>
      </c>
      <c r="D181" t="s">
        <v>36</v>
      </c>
      <c r="E181" t="s">
        <v>38</v>
      </c>
      <c r="F181" t="s">
        <v>163</v>
      </c>
      <c r="G181" t="s">
        <v>38</v>
      </c>
      <c r="H181" t="s">
        <v>501</v>
      </c>
      <c r="I181" t="s">
        <v>244</v>
      </c>
      <c r="J181" t="str">
        <f t="shared" ref="J181:J184" si="174">IF(I181="SOLES","4.4963","3.388")</f>
        <v>3.388</v>
      </c>
      <c r="K181" t="s">
        <v>32</v>
      </c>
      <c r="L181" t="s">
        <v>33</v>
      </c>
      <c r="M181" t="s">
        <v>34</v>
      </c>
      <c r="N181" t="s">
        <v>404</v>
      </c>
      <c r="O181" t="s">
        <v>44</v>
      </c>
      <c r="P181" s="3">
        <v>1271297.3483</v>
      </c>
      <c r="Q181" s="3">
        <v>123240.81479999999</v>
      </c>
      <c r="R181" s="4">
        <v>3.39E-2</v>
      </c>
      <c r="S181" s="3">
        <f>+Tabla9[[#This Row],[SAL_PROM_SOL]]</f>
        <v>1271297.3483</v>
      </c>
      <c r="T181" s="4">
        <v>3.1E-2</v>
      </c>
      <c r="U181" s="4">
        <v>2.8999999999999998E-3</v>
      </c>
      <c r="V181" s="3">
        <v>3534.7215000000001</v>
      </c>
      <c r="W181" s="3">
        <v>3238.1759000000002</v>
      </c>
      <c r="X181" s="3">
        <v>296.54559999999998</v>
      </c>
      <c r="Y181" s="3">
        <v>10.053599999999999</v>
      </c>
      <c r="Z181" s="3">
        <v>286.49200000000002</v>
      </c>
      <c r="AA181">
        <v>30</v>
      </c>
      <c r="AB181" t="b">
        <f t="shared" si="142"/>
        <v>1</v>
      </c>
      <c r="AC181" s="3">
        <v>1800000</v>
      </c>
      <c r="AD181" t="s">
        <v>46</v>
      </c>
      <c r="AE181" s="8">
        <v>46155.560022106481</v>
      </c>
      <c r="AF181" s="6">
        <f t="shared" ref="AF181:AF182" si="175">S181/AC181</f>
        <v>0.70627630461111113</v>
      </c>
      <c r="AG181" s="6" t="b">
        <f>+Tabla9[[#This Row],[CUMPLIMIENTO]]&lt;100%</f>
        <v>1</v>
      </c>
      <c r="AH181" s="12">
        <f>((( (Tabla9[[#This Row],[FTP_CIERRE_MES]]/100)+1)^(30/360) -1)*(36000/30))/36000</f>
        <v>9.2680593701059222E-5</v>
      </c>
      <c r="AI181" s="3">
        <f>Tabla9[[#This Row],[FTP_DIARIO]]*Tabla9[[#This Row],[SALDO_PROM_CORREGIDO]]*Tabla9[[#This Row],[DIAS]]</f>
        <v>3534.7377903307879</v>
      </c>
      <c r="AJ181" s="3">
        <f>Tabla9[[#This Row],[REAL_FTP_MONTO]]-Tabla9[[#This Row],[INT_REAL]]</f>
        <v>296.56189033078772</v>
      </c>
      <c r="AK181" s="3">
        <f>Tabla9[[#This Row],[FTP_DIARIO]]*Tabla9[[#This Row],[COMPROMISO]]*Tabla9[[#This Row],[DIAS]]</f>
        <v>5004.7520598571982</v>
      </c>
      <c r="AL181" s="13">
        <f>((( (Tabla9[[#This Row],[TASA_INT]])+1)^(30/360) -1)*(36000/30))/36000</f>
        <v>8.4911312973775152E-5</v>
      </c>
      <c r="AM181" s="3">
        <f>Tabla9[[#This Row],[TEA DIARIA]]*Tabla9[[#This Row],[SALDO_PROM_CORREGIDO]]*Tabla9[[#This Row],[DIAS]]</f>
        <v>3238.425810726952</v>
      </c>
      <c r="AN181" s="3">
        <f>Tabla9[[#This Row],[TEA DIARIA]]*Tabla9[[#This Row],[COMPROMISO]]*Tabla9[[#This Row],[DIAS]]</f>
        <v>4585.2109005838583</v>
      </c>
      <c r="AO181" s="14">
        <f>+Tabla9[[#This Row],[PROYECTADO_FTP_MONTO]]-Tabla9[[#This Row],[PROYECCION_INTERES]]</f>
        <v>419.54115927333987</v>
      </c>
      <c r="AP181" s="3">
        <f>Tabla9[[#This Row],[PROYECCION_MARGEN(FTP - Int compromiso)]]-Tabla9[[#This Row],[REAL_MARGEN(FTP - Int)]]</f>
        <v>122.97926894255215</v>
      </c>
    </row>
    <row r="182" spans="1:42" x14ac:dyDescent="0.35">
      <c r="A182">
        <v>202604</v>
      </c>
      <c r="B182" s="7">
        <v>46142</v>
      </c>
      <c r="C182">
        <v>12585396</v>
      </c>
      <c r="D182" t="s">
        <v>36</v>
      </c>
      <c r="E182" t="s">
        <v>38</v>
      </c>
      <c r="F182" t="s">
        <v>163</v>
      </c>
      <c r="G182" t="s">
        <v>38</v>
      </c>
      <c r="H182" t="s">
        <v>501</v>
      </c>
      <c r="I182" t="s">
        <v>243</v>
      </c>
      <c r="J182" t="str">
        <f t="shared" si="174"/>
        <v>4.4963</v>
      </c>
      <c r="K182" t="s">
        <v>32</v>
      </c>
      <c r="L182" t="s">
        <v>33</v>
      </c>
      <c r="M182" t="s">
        <v>31</v>
      </c>
      <c r="N182" t="s">
        <v>405</v>
      </c>
      <c r="O182" t="s">
        <v>44</v>
      </c>
      <c r="P182" s="3">
        <v>89888.628599999996</v>
      </c>
      <c r="Q182" s="3">
        <v>89653.119999999995</v>
      </c>
      <c r="R182" s="4">
        <v>4.4999999999999998E-2</v>
      </c>
      <c r="S182" s="3">
        <f>+Tabla9[[#This Row],[SAL_PROM_SOL]]</f>
        <v>89888.628599999996</v>
      </c>
      <c r="T182" s="4">
        <v>1.7000000000000001E-2</v>
      </c>
      <c r="U182" s="4">
        <v>2.8000000000000001E-2</v>
      </c>
      <c r="V182" s="3">
        <v>330.0598</v>
      </c>
      <c r="W182" s="3">
        <v>126.36150000000001</v>
      </c>
      <c r="X182" s="3">
        <v>203.69829999999999</v>
      </c>
      <c r="Y182" s="3">
        <v>33.6691</v>
      </c>
      <c r="Z182" s="3">
        <v>170.0292</v>
      </c>
      <c r="AA182">
        <v>30</v>
      </c>
      <c r="AB182" t="b">
        <f t="shared" si="142"/>
        <v>1</v>
      </c>
      <c r="AC182" s="3">
        <v>1000000</v>
      </c>
      <c r="AD182" t="s">
        <v>46</v>
      </c>
      <c r="AE182" s="8">
        <v>46155.560022106481</v>
      </c>
      <c r="AF182" s="6">
        <f t="shared" si="175"/>
        <v>8.9888628599999992E-2</v>
      </c>
      <c r="AG182" s="6" t="b">
        <f>+Tabla9[[#This Row],[CUMPLIMIENTO]]&lt;100%</f>
        <v>1</v>
      </c>
      <c r="AH182" s="12">
        <f>((( (Tabla9[[#This Row],[FTP_CIERRE_MES]]/100)+1)^(30/360) -1)*(36000/30))/36000</f>
        <v>1.2239493171416853E-4</v>
      </c>
      <c r="AI182" s="3">
        <f>Tabla9[[#This Row],[FTP_DIARIO]]*Tabla9[[#This Row],[SALDO_PROM_CORREGIDO]]*Tabla9[[#This Row],[DIAS]]</f>
        <v>330.05737678131766</v>
      </c>
      <c r="AJ182" s="3">
        <f>Tabla9[[#This Row],[REAL_FTP_MONTO]]-Tabla9[[#This Row],[INT_REAL]]</f>
        <v>203.69587678131765</v>
      </c>
      <c r="AK182" s="3">
        <f>Tabla9[[#This Row],[FTP_DIARIO]]*Tabla9[[#This Row],[COMPROMISO]]*Tabla9[[#This Row],[DIAS]]</f>
        <v>3671.8479514250557</v>
      </c>
      <c r="AL182" s="13">
        <f>((( (Tabla9[[#This Row],[TASA_INT]])+1)^(30/360) -1)*(36000/30))/36000</f>
        <v>4.6858229756555995E-5</v>
      </c>
      <c r="AM182" s="3">
        <f>Tabla9[[#This Row],[TEA DIARIA]]*Tabla9[[#This Row],[SALDO_PROM_CORREGIDO]]*Tabla9[[#This Row],[DIAS]]</f>
        <v>126.36066034321591</v>
      </c>
      <c r="AN182" s="3">
        <f>Tabla9[[#This Row],[TEA DIARIA]]*Tabla9[[#This Row],[COMPROMISO]]*Tabla9[[#This Row],[DIAS]]</f>
        <v>1405.7468926966799</v>
      </c>
      <c r="AO182" s="14">
        <f>+Tabla9[[#This Row],[PROYECTADO_FTP_MONTO]]-Tabla9[[#This Row],[PROYECCION_INTERES]]</f>
        <v>2266.1010587283758</v>
      </c>
      <c r="AP182" s="3">
        <f>Tabla9[[#This Row],[PROYECCION_MARGEN(FTP - Int compromiso)]]-Tabla9[[#This Row],[REAL_MARGEN(FTP - Int)]]</f>
        <v>2062.4051819470583</v>
      </c>
    </row>
    <row r="183" spans="1:42" x14ac:dyDescent="0.35">
      <c r="A183">
        <v>202604</v>
      </c>
      <c r="B183" s="7">
        <v>46142</v>
      </c>
      <c r="C183">
        <v>12589169</v>
      </c>
      <c r="D183" t="s">
        <v>36</v>
      </c>
      <c r="E183" t="s">
        <v>37</v>
      </c>
      <c r="F183" t="s">
        <v>164</v>
      </c>
      <c r="G183" t="s">
        <v>37</v>
      </c>
      <c r="H183" t="s">
        <v>491</v>
      </c>
      <c r="I183" t="s">
        <v>243</v>
      </c>
      <c r="J183" t="str">
        <f t="shared" si="174"/>
        <v>4.4963</v>
      </c>
      <c r="K183" t="s">
        <v>32</v>
      </c>
      <c r="L183" t="s">
        <v>33</v>
      </c>
      <c r="M183" t="s">
        <v>31</v>
      </c>
      <c r="N183" t="s">
        <v>406</v>
      </c>
      <c r="O183" t="s">
        <v>44</v>
      </c>
      <c r="P183" s="3">
        <v>554759.54830000002</v>
      </c>
      <c r="Q183" s="3">
        <v>551263.43999999994</v>
      </c>
      <c r="R183" s="4">
        <v>4.4999999999999998E-2</v>
      </c>
      <c r="S183" s="3">
        <f>+Tabla9[[#This Row],[SAL_PROM_SOL]]</f>
        <v>554759.54830000002</v>
      </c>
      <c r="T183" s="4">
        <v>7.1999999999999998E-3</v>
      </c>
      <c r="U183" s="4">
        <v>3.78E-2</v>
      </c>
      <c r="V183" s="3">
        <v>2036.989</v>
      </c>
      <c r="W183" s="3">
        <v>329.71890000000002</v>
      </c>
      <c r="X183" s="3">
        <v>1707.2701</v>
      </c>
      <c r="Y183" s="3">
        <v>43.9499</v>
      </c>
      <c r="Z183" s="3">
        <v>1663.3202000000001</v>
      </c>
      <c r="AA183">
        <v>30</v>
      </c>
      <c r="AB183" t="b">
        <f t="shared" si="142"/>
        <v>1</v>
      </c>
      <c r="AC183" s="3">
        <v>1000000</v>
      </c>
      <c r="AD183" t="s">
        <v>45</v>
      </c>
      <c r="AE183" s="8">
        <v>46155.560022106481</v>
      </c>
      <c r="AF183" s="6">
        <f t="shared" ref="AF183:AF184" si="176">S183/AC183</f>
        <v>0.55475954830000007</v>
      </c>
      <c r="AG183" s="6" t="b">
        <f>+Tabla9[[#This Row],[CUMPLIMIENTO]]&lt;100%</f>
        <v>1</v>
      </c>
      <c r="AH183" s="12">
        <f>((( (Tabla9[[#This Row],[FTP_CIERRE_MES]]/100)+1)^(30/360) -1)*(36000/30))/36000</f>
        <v>1.2239493171416853E-4</v>
      </c>
      <c r="AI183" s="3">
        <f>Tabla9[[#This Row],[FTP_DIARIO]]*Tabla9[[#This Row],[SALDO_PROM_CORREGIDO]]*Tabla9[[#This Row],[DIAS]]</f>
        <v>2036.9927109588446</v>
      </c>
      <c r="AJ183" s="3">
        <f>Tabla9[[#This Row],[REAL_FTP_MONTO]]-Tabla9[[#This Row],[INT_REAL]]</f>
        <v>1707.2738109588445</v>
      </c>
      <c r="AK183" s="3">
        <f>Tabla9[[#This Row],[FTP_DIARIO]]*Tabla9[[#This Row],[COMPROMISO]]*Tabla9[[#This Row],[DIAS]]</f>
        <v>3671.8479514250557</v>
      </c>
      <c r="AL183" s="13">
        <f>((( (Tabla9[[#This Row],[TASA_INT]])+1)^(30/360) -1)*(36000/30))/36000</f>
        <v>1.9934302015034434E-5</v>
      </c>
      <c r="AM183" s="3">
        <f>Tabla9[[#This Row],[TEA DIARIA]]*Tabla9[[#This Row],[SALDO_PROM_CORREGIDO]]*Tabla9[[#This Row],[DIAS]]</f>
        <v>331.76233144608847</v>
      </c>
      <c r="AN183" s="3">
        <f>Tabla9[[#This Row],[TEA DIARIA]]*Tabla9[[#This Row],[COMPROMISO]]*Tabla9[[#This Row],[DIAS]]</f>
        <v>598.02906045103305</v>
      </c>
      <c r="AO183" s="14">
        <f>+Tabla9[[#This Row],[PROYECTADO_FTP_MONTO]]-Tabla9[[#This Row],[PROYECCION_INTERES]]</f>
        <v>3073.8188909740229</v>
      </c>
      <c r="AP183" s="3">
        <f>Tabla9[[#This Row],[PROYECCION_MARGEN(FTP - Int compromiso)]]-Tabla9[[#This Row],[REAL_MARGEN(FTP - Int)]]</f>
        <v>1366.5450800151784</v>
      </c>
    </row>
    <row r="184" spans="1:42" x14ac:dyDescent="0.35">
      <c r="A184">
        <v>202604</v>
      </c>
      <c r="B184" s="7">
        <v>46142</v>
      </c>
      <c r="C184">
        <v>12589169</v>
      </c>
      <c r="D184" t="s">
        <v>36</v>
      </c>
      <c r="E184" t="s">
        <v>37</v>
      </c>
      <c r="F184" t="s">
        <v>164</v>
      </c>
      <c r="G184" t="s">
        <v>37</v>
      </c>
      <c r="H184" t="s">
        <v>491</v>
      </c>
      <c r="I184" t="s">
        <v>244</v>
      </c>
      <c r="J184" t="str">
        <f t="shared" si="174"/>
        <v>3.388</v>
      </c>
      <c r="K184" t="s">
        <v>32</v>
      </c>
      <c r="L184" t="s">
        <v>33</v>
      </c>
      <c r="M184" t="s">
        <v>34</v>
      </c>
      <c r="N184" t="s">
        <v>407</v>
      </c>
      <c r="O184" t="s">
        <v>44</v>
      </c>
      <c r="P184" s="3">
        <v>1187875.3864</v>
      </c>
      <c r="Q184" s="3">
        <v>2244472.4832000001</v>
      </c>
      <c r="R184" s="4">
        <v>3.39E-2</v>
      </c>
      <c r="S184" s="3">
        <f>+Tabla9[[#This Row],[SAL_PROM_SOL]]</f>
        <v>1187875.3864</v>
      </c>
      <c r="T184" s="4">
        <v>7.7000000000000002E-3</v>
      </c>
      <c r="U184" s="4">
        <v>2.6200000000000001E-2</v>
      </c>
      <c r="V184" s="3">
        <v>3302.8009999999999</v>
      </c>
      <c r="W184" s="3">
        <v>758.11419999999998</v>
      </c>
      <c r="X184" s="3">
        <v>2544.6867999999999</v>
      </c>
      <c r="Y184" s="3">
        <v>0</v>
      </c>
      <c r="Z184" s="3">
        <v>2544.6867999999999</v>
      </c>
      <c r="AA184">
        <v>30</v>
      </c>
      <c r="AB184" t="b">
        <f t="shared" si="142"/>
        <v>1</v>
      </c>
      <c r="AC184" s="3">
        <v>296000</v>
      </c>
      <c r="AD184" t="s">
        <v>45</v>
      </c>
      <c r="AE184" s="8">
        <v>46155.560022106481</v>
      </c>
      <c r="AF184" s="6">
        <f t="shared" si="176"/>
        <v>4.0130925216216218</v>
      </c>
      <c r="AG184" s="6" t="b">
        <f>+Tabla9[[#This Row],[CUMPLIMIENTO]]&lt;100%</f>
        <v>0</v>
      </c>
      <c r="AH184" s="12">
        <f>((( (Tabla9[[#This Row],[FTP_CIERRE_MES]]/100)+1)^(30/360) -1)*(36000/30))/36000</f>
        <v>9.2680593701059222E-5</v>
      </c>
      <c r="AI184" s="3">
        <f>Tabla9[[#This Row],[FTP_DIARIO]]*Tabla9[[#This Row],[SALDO_PROM_CORREGIDO]]*Tabla9[[#This Row],[DIAS]]</f>
        <v>3302.7898816328138</v>
      </c>
      <c r="AJ184" s="3">
        <f>Tabla9[[#This Row],[REAL_FTP_MONTO]]-Tabla9[[#This Row],[INT_REAL]]</f>
        <v>2544.6756816328138</v>
      </c>
      <c r="AK184" s="3">
        <f>Tabla9[[#This Row],[FTP_DIARIO]]*Tabla9[[#This Row],[COMPROMISO]]*Tabla9[[#This Row],[DIAS]]</f>
        <v>823.00367206540591</v>
      </c>
      <c r="AL184" s="13">
        <f>((( (Tabla9[[#This Row],[TASA_INT]])+1)^(30/360) -1)*(36000/30))/36000</f>
        <v>2.1313773206776963E-5</v>
      </c>
      <c r="AM184" s="3">
        <f>Tabla9[[#This Row],[TEA DIARIA]]*Tabla9[[#This Row],[SALDO_PROM_CORREGIDO]]*Tabla9[[#This Row],[DIAS]]</f>
        <v>759.54319750926459</v>
      </c>
      <c r="AN184" s="3">
        <f>Tabla9[[#This Row],[TEA DIARIA]]*Tabla9[[#This Row],[COMPROMISO]]*Tabla9[[#This Row],[DIAS]]</f>
        <v>189.26630607617943</v>
      </c>
      <c r="AO184" s="14">
        <f>+Tabla9[[#This Row],[PROYECTADO_FTP_MONTO]]-Tabla9[[#This Row],[PROYECCION_INTERES]]</f>
        <v>633.73736598922642</v>
      </c>
      <c r="AP184" s="3">
        <f>Tabla9[[#This Row],[PROYECCION_MARGEN(FTP - Int compromiso)]]-Tabla9[[#This Row],[REAL_MARGEN(FTP - Int)]]</f>
        <v>-1910.9383156435874</v>
      </c>
    </row>
    <row r="185" spans="1:42" x14ac:dyDescent="0.35">
      <c r="A185">
        <v>202604</v>
      </c>
      <c r="B185" s="7">
        <v>46142</v>
      </c>
      <c r="C185">
        <v>12760738</v>
      </c>
      <c r="D185" t="s">
        <v>36</v>
      </c>
      <c r="E185" t="s">
        <v>38</v>
      </c>
      <c r="F185" t="s">
        <v>165</v>
      </c>
      <c r="G185" t="s">
        <v>38</v>
      </c>
      <c r="H185" t="s">
        <v>501</v>
      </c>
      <c r="I185" t="s">
        <v>244</v>
      </c>
      <c r="J185" t="str">
        <f t="shared" ref="J185" si="177">IF(I185="SOLES","4.4963","3.388")</f>
        <v>3.388</v>
      </c>
      <c r="K185" t="s">
        <v>32</v>
      </c>
      <c r="L185" t="s">
        <v>33</v>
      </c>
      <c r="M185" t="s">
        <v>34</v>
      </c>
      <c r="N185" t="s">
        <v>408</v>
      </c>
      <c r="O185" t="s">
        <v>44</v>
      </c>
      <c r="P185" s="3">
        <v>7255.6405000000004</v>
      </c>
      <c r="Q185" s="3">
        <v>7019.4748</v>
      </c>
      <c r="R185" s="4">
        <v>3.39E-2</v>
      </c>
      <c r="S185" s="3">
        <f>+Tabla9[[#This Row],[SAL_PROM_SOL]]</f>
        <v>7255.6405000000004</v>
      </c>
      <c r="T185" s="4">
        <v>1E-3</v>
      </c>
      <c r="U185" s="4">
        <v>3.2899999999999999E-2</v>
      </c>
      <c r="V185" s="3">
        <v>20.175999999999998</v>
      </c>
      <c r="W185" s="3">
        <v>0.61970000000000003</v>
      </c>
      <c r="X185" s="3">
        <v>19.5563</v>
      </c>
      <c r="Y185" s="3">
        <v>2.5821999999999998</v>
      </c>
      <c r="Z185" s="3">
        <v>16.9741</v>
      </c>
      <c r="AA185">
        <v>2</v>
      </c>
      <c r="AB185" t="b">
        <f t="shared" si="142"/>
        <v>0</v>
      </c>
      <c r="AC185" s="3">
        <v>500000</v>
      </c>
      <c r="AD185" t="s">
        <v>46</v>
      </c>
      <c r="AE185" s="8">
        <v>46155.560022106481</v>
      </c>
      <c r="AF185" s="6">
        <f t="shared" ref="AF185" si="178">S185/AC185</f>
        <v>1.4511281000000001E-2</v>
      </c>
      <c r="AG185" s="6" t="b">
        <f>+Tabla9[[#This Row],[CUMPLIMIENTO]]&lt;100%</f>
        <v>1</v>
      </c>
      <c r="AH185" s="12">
        <f>((( (Tabla9[[#This Row],[FTP_CIERRE_MES]]/100)+1)^(30/360) -1)*(36000/30))/36000</f>
        <v>9.2680593701059222E-5</v>
      </c>
      <c r="AI185" s="3">
        <f>Tabla9[[#This Row],[FTP_DIARIO]]*Tabla9[[#This Row],[SALDO_PROM_CORREGIDO]]*Tabla9[[#This Row],[DIAS]]</f>
        <v>1.3449141384429004</v>
      </c>
      <c r="AJ185" s="3">
        <f>Tabla9[[#This Row],[REAL_FTP_MONTO]]-Tabla9[[#This Row],[INT_REAL]]</f>
        <v>0.72521413844290039</v>
      </c>
      <c r="AK185" s="3">
        <f>Tabla9[[#This Row],[FTP_DIARIO]]*Tabla9[[#This Row],[COMPROMISO]]*Tabla9[[#This Row],[DIAS]]</f>
        <v>92.680593701059223</v>
      </c>
      <c r="AL185" s="13">
        <f>((( (Tabla9[[#This Row],[TASA_INT]])+1)^(30/360) -1)*(36000/30))/36000</f>
        <v>2.7765054424403839E-6</v>
      </c>
      <c r="AM185" s="3">
        <f>Tabla9[[#This Row],[TEA DIARIA]]*Tabla9[[#This Row],[SALDO_PROM_CORREGIDO]]*Tabla9[[#This Row],[DIAS]]</f>
        <v>4.029065067328174E-2</v>
      </c>
      <c r="AN185" s="3">
        <f>Tabla9[[#This Row],[TEA DIARIA]]*Tabla9[[#This Row],[COMPROMISO]]*Tabla9[[#This Row],[DIAS]]</f>
        <v>2.7765054424403841</v>
      </c>
      <c r="AO185" s="14">
        <f>+Tabla9[[#This Row],[PROYECTADO_FTP_MONTO]]-Tabla9[[#This Row],[PROYECCION_INTERES]]</f>
        <v>89.904088258618842</v>
      </c>
      <c r="AP185" s="3">
        <f>Tabla9[[#This Row],[PROYECCION_MARGEN(FTP - Int compromiso)]]-Tabla9[[#This Row],[REAL_MARGEN(FTP - Int)]]</f>
        <v>89.178874120175948</v>
      </c>
    </row>
    <row r="186" spans="1:42" x14ac:dyDescent="0.35">
      <c r="A186">
        <v>202604</v>
      </c>
      <c r="B186" s="7">
        <v>46142</v>
      </c>
      <c r="C186">
        <v>12907661</v>
      </c>
      <c r="D186" t="s">
        <v>29</v>
      </c>
      <c r="E186" t="s">
        <v>30</v>
      </c>
      <c r="F186" t="s">
        <v>166</v>
      </c>
      <c r="G186" t="s">
        <v>30</v>
      </c>
      <c r="H186" t="s">
        <v>519</v>
      </c>
      <c r="I186" t="s">
        <v>243</v>
      </c>
      <c r="J186" t="str">
        <f t="shared" ref="J186:J187" si="179">IF(I186="SOLES","4.4963","3.388")</f>
        <v>4.4963</v>
      </c>
      <c r="K186" t="s">
        <v>32</v>
      </c>
      <c r="L186" t="s">
        <v>33</v>
      </c>
      <c r="M186" t="s">
        <v>31</v>
      </c>
      <c r="N186" t="s">
        <v>409</v>
      </c>
      <c r="O186" t="s">
        <v>44</v>
      </c>
      <c r="P186" s="3">
        <v>2505821.1016000002</v>
      </c>
      <c r="Q186" s="3">
        <v>2512660.39</v>
      </c>
      <c r="R186" s="4">
        <v>4.4999999999999998E-2</v>
      </c>
      <c r="S186" s="3">
        <f>+Tabla9[[#This Row],[SAL_PROM_SOL]]</f>
        <v>2505821.1016000002</v>
      </c>
      <c r="T186" s="4">
        <v>3.6400000000000002E-2</v>
      </c>
      <c r="U186" s="4">
        <v>8.6E-3</v>
      </c>
      <c r="V186" s="3">
        <v>9200.9905999999992</v>
      </c>
      <c r="W186" s="3">
        <v>7479.8383000000003</v>
      </c>
      <c r="X186" s="3">
        <v>1721.1523</v>
      </c>
      <c r="Y186" s="3">
        <v>43.9499</v>
      </c>
      <c r="Z186" s="3">
        <v>1677.2023999999999</v>
      </c>
      <c r="AA186">
        <v>30</v>
      </c>
      <c r="AB186" t="b">
        <f t="shared" si="142"/>
        <v>1</v>
      </c>
      <c r="AC186" s="3">
        <v>2500000</v>
      </c>
      <c r="AD186" t="s">
        <v>45</v>
      </c>
      <c r="AE186" s="8">
        <v>46155.560022106481</v>
      </c>
      <c r="AF186" s="6">
        <f t="shared" ref="AF186" si="180">S186/AC186</f>
        <v>1.0023284406400002</v>
      </c>
      <c r="AG186" s="6" t="b">
        <f>+Tabla9[[#This Row],[CUMPLIMIENTO]]&lt;100%</f>
        <v>0</v>
      </c>
      <c r="AH186" s="12">
        <f>((( (Tabla9[[#This Row],[FTP_CIERRE_MES]]/100)+1)^(30/360) -1)*(36000/30))/36000</f>
        <v>1.2239493171416853E-4</v>
      </c>
      <c r="AI186" s="3">
        <f>Tabla9[[#This Row],[FTP_DIARIO]]*Tabla9[[#This Row],[SALDO_PROM_CORREGIDO]]*Tabla9[[#This Row],[DIAS]]</f>
        <v>9200.9940785476374</v>
      </c>
      <c r="AJ186" s="3">
        <f>Tabla9[[#This Row],[REAL_FTP_MONTO]]-Tabla9[[#This Row],[INT_REAL]]</f>
        <v>1721.1557785476371</v>
      </c>
      <c r="AK186" s="3">
        <f>Tabla9[[#This Row],[FTP_DIARIO]]*Tabla9[[#This Row],[COMPROMISO]]*Tabla9[[#This Row],[DIAS]]</f>
        <v>9179.6198785626402</v>
      </c>
      <c r="AL186" s="13">
        <f>((( (Tabla9[[#This Row],[TASA_INT]])+1)^(30/360) -1)*(36000/30))/36000</f>
        <v>9.9462457471588556E-5</v>
      </c>
      <c r="AM186" s="3">
        <f>Tabla9[[#This Row],[TEA DIARIA]]*Tabla9[[#This Row],[SALDO_PROM_CORREGIDO]]*Tabla9[[#This Row],[DIAS]]</f>
        <v>7477.0537424789754</v>
      </c>
      <c r="AN186" s="3">
        <f>Tabla9[[#This Row],[TEA DIARIA]]*Tabla9[[#This Row],[COMPROMISO]]*Tabla9[[#This Row],[DIAS]]</f>
        <v>7459.6843103691408</v>
      </c>
      <c r="AO186" s="14">
        <f>+Tabla9[[#This Row],[PROYECTADO_FTP_MONTO]]-Tabla9[[#This Row],[PROYECCION_INTERES]]</f>
        <v>1719.9355681934994</v>
      </c>
      <c r="AP186" s="3">
        <f>Tabla9[[#This Row],[PROYECCION_MARGEN(FTP - Int compromiso)]]-Tabla9[[#This Row],[REAL_MARGEN(FTP - Int)]]</f>
        <v>-1.2202103541376346</v>
      </c>
    </row>
    <row r="187" spans="1:42" x14ac:dyDescent="0.35">
      <c r="A187">
        <v>202604</v>
      </c>
      <c r="B187" s="7">
        <v>46142</v>
      </c>
      <c r="C187">
        <v>12912743</v>
      </c>
      <c r="D187" t="s">
        <v>36</v>
      </c>
      <c r="E187" t="s">
        <v>37</v>
      </c>
      <c r="F187" t="s">
        <v>167</v>
      </c>
      <c r="G187" t="s">
        <v>37</v>
      </c>
      <c r="H187" t="s">
        <v>498</v>
      </c>
      <c r="I187" t="s">
        <v>243</v>
      </c>
      <c r="J187" t="str">
        <f t="shared" si="179"/>
        <v>4.4963</v>
      </c>
      <c r="K187" t="s">
        <v>32</v>
      </c>
      <c r="L187" t="s">
        <v>33</v>
      </c>
      <c r="M187" t="s">
        <v>31</v>
      </c>
      <c r="N187" t="s">
        <v>410</v>
      </c>
      <c r="O187" t="s">
        <v>44</v>
      </c>
      <c r="P187" s="3">
        <v>5427291.3786000004</v>
      </c>
      <c r="Q187" s="3">
        <v>9114382.3900000006</v>
      </c>
      <c r="R187" s="4">
        <v>4.4999999999999998E-2</v>
      </c>
      <c r="S187" s="3">
        <f>+Tabla9[[#This Row],[SAL_PROM_SOL]]</f>
        <v>5427291.3786000004</v>
      </c>
      <c r="T187" s="4">
        <v>1.4500000000000001E-2</v>
      </c>
      <c r="U187" s="4">
        <v>3.0499999999999999E-2</v>
      </c>
      <c r="V187" s="3">
        <v>19928.190699999999</v>
      </c>
      <c r="W187" s="3">
        <v>6514.8307999999997</v>
      </c>
      <c r="X187" s="3">
        <v>13413.359899999999</v>
      </c>
      <c r="Y187" s="3">
        <v>0</v>
      </c>
      <c r="Z187" s="3">
        <v>13413.359899999999</v>
      </c>
      <c r="AA187">
        <v>30</v>
      </c>
      <c r="AB187" t="b">
        <f t="shared" si="142"/>
        <v>1</v>
      </c>
      <c r="AC187" s="3">
        <v>3000000</v>
      </c>
      <c r="AD187" t="s">
        <v>46</v>
      </c>
      <c r="AE187" s="8">
        <v>46155.560022106481</v>
      </c>
      <c r="AF187" s="6">
        <f t="shared" ref="AF187" si="181">S187/AC187</f>
        <v>1.8090971262000002</v>
      </c>
      <c r="AG187" s="6" t="b">
        <f>+Tabla9[[#This Row],[CUMPLIMIENTO]]&lt;100%</f>
        <v>0</v>
      </c>
      <c r="AH187" s="12">
        <f>((( (Tabla9[[#This Row],[FTP_CIERRE_MES]]/100)+1)^(30/360) -1)*(36000/30))/36000</f>
        <v>1.2239493171416853E-4</v>
      </c>
      <c r="AI187" s="3">
        <f>Tabla9[[#This Row],[FTP_DIARIO]]*Tabla9[[#This Row],[SALDO_PROM_CORREGIDO]]*Tabla9[[#This Row],[DIAS]]</f>
        <v>19928.188730299276</v>
      </c>
      <c r="AJ187" s="3">
        <f>Tabla9[[#This Row],[REAL_FTP_MONTO]]-Tabla9[[#This Row],[INT_REAL]]</f>
        <v>13413.357930299277</v>
      </c>
      <c r="AK187" s="3">
        <f>Tabla9[[#This Row],[FTP_DIARIO]]*Tabla9[[#This Row],[COMPROMISO]]*Tabla9[[#This Row],[DIAS]]</f>
        <v>11015.543854275167</v>
      </c>
      <c r="AL187" s="13">
        <f>((( (Tabla9[[#This Row],[TASA_INT]])+1)^(30/360) -1)*(36000/30))/36000</f>
        <v>4.0012552207920513E-5</v>
      </c>
      <c r="AM187" s="3">
        <f>Tabla9[[#This Row],[TEA DIARIA]]*Tabla9[[#This Row],[SALDO_PROM_CORREGIDO]]*Tabla9[[#This Row],[DIAS]]</f>
        <v>6514.7933890148825</v>
      </c>
      <c r="AN187" s="3">
        <f>Tabla9[[#This Row],[TEA DIARIA]]*Tabla9[[#This Row],[COMPROMISO]]*Tabla9[[#This Row],[DIAS]]</f>
        <v>3601.1296987128462</v>
      </c>
      <c r="AO187" s="14">
        <f>+Tabla9[[#This Row],[PROYECTADO_FTP_MONTO]]-Tabla9[[#This Row],[PROYECCION_INTERES]]</f>
        <v>7414.414155562321</v>
      </c>
      <c r="AP187" s="3">
        <f>Tabla9[[#This Row],[PROYECCION_MARGEN(FTP - Int compromiso)]]-Tabla9[[#This Row],[REAL_MARGEN(FTP - Int)]]</f>
        <v>-5998.9437747369557</v>
      </c>
    </row>
    <row r="188" spans="1:42" x14ac:dyDescent="0.35">
      <c r="A188">
        <v>202604</v>
      </c>
      <c r="B188" s="7">
        <v>46142</v>
      </c>
      <c r="C188">
        <v>12998851</v>
      </c>
      <c r="D188" t="s">
        <v>36</v>
      </c>
      <c r="E188" t="s">
        <v>37</v>
      </c>
      <c r="F188" t="s">
        <v>168</v>
      </c>
      <c r="G188" t="s">
        <v>37</v>
      </c>
      <c r="H188" t="s">
        <v>498</v>
      </c>
      <c r="I188" t="s">
        <v>243</v>
      </c>
      <c r="J188" t="str">
        <f t="shared" ref="J188" si="182">IF(I188="SOLES","4.4963","3.388")</f>
        <v>4.4963</v>
      </c>
      <c r="K188" t="s">
        <v>32</v>
      </c>
      <c r="L188" t="s">
        <v>33</v>
      </c>
      <c r="M188" t="s">
        <v>31</v>
      </c>
      <c r="N188" t="s">
        <v>411</v>
      </c>
      <c r="O188" t="s">
        <v>44</v>
      </c>
      <c r="P188" s="3">
        <v>2708369.4416</v>
      </c>
      <c r="Q188" s="3">
        <v>7504572.6200000001</v>
      </c>
      <c r="R188" s="4">
        <v>4.4999999999999998E-2</v>
      </c>
      <c r="S188" s="3">
        <f>+Tabla9[[#This Row],[SAL_PROM_SOL]]</f>
        <v>2708369.4416</v>
      </c>
      <c r="T188" s="4">
        <v>1.1299999999999999E-2</v>
      </c>
      <c r="U188" s="4">
        <v>3.3700000000000001E-2</v>
      </c>
      <c r="V188" s="3">
        <v>9944.7199000000001</v>
      </c>
      <c r="W188" s="3">
        <v>2534.1788000000001</v>
      </c>
      <c r="X188" s="3">
        <v>7410.5411000000004</v>
      </c>
      <c r="Y188" s="3">
        <v>43.9499</v>
      </c>
      <c r="Z188" s="3">
        <v>7366.5911999999998</v>
      </c>
      <c r="AA188">
        <v>30</v>
      </c>
      <c r="AB188" t="b">
        <f t="shared" si="142"/>
        <v>1</v>
      </c>
      <c r="AC188" s="3">
        <v>15000000</v>
      </c>
      <c r="AD188" t="s">
        <v>46</v>
      </c>
      <c r="AE188" s="8">
        <v>46155.560022106481</v>
      </c>
      <c r="AF188" s="6">
        <f t="shared" ref="AF188" si="183">S188/AC188</f>
        <v>0.18055796277333333</v>
      </c>
      <c r="AG188" s="6" t="b">
        <f>+Tabla9[[#This Row],[CUMPLIMIENTO]]&lt;100%</f>
        <v>1</v>
      </c>
      <c r="AH188" s="12">
        <f>((( (Tabla9[[#This Row],[FTP_CIERRE_MES]]/100)+1)^(30/360) -1)*(36000/30))/36000</f>
        <v>1.2239493171416853E-4</v>
      </c>
      <c r="AI188" s="3">
        <f>Tabla9[[#This Row],[FTP_DIARIO]]*Tabla9[[#This Row],[SALDO_PROM_CORREGIDO]]*Tabla9[[#This Row],[DIAS]]</f>
        <v>9944.7207858411821</v>
      </c>
      <c r="AJ188" s="3">
        <f>Tabla9[[#This Row],[REAL_FTP_MONTO]]-Tabla9[[#This Row],[INT_REAL]]</f>
        <v>7410.5419858411824</v>
      </c>
      <c r="AK188" s="3">
        <f>Tabla9[[#This Row],[FTP_DIARIO]]*Tabla9[[#This Row],[COMPROMISO]]*Tabla9[[#This Row],[DIAS]]</f>
        <v>55077.719271375834</v>
      </c>
      <c r="AL188" s="13">
        <f>((( (Tabla9[[#This Row],[TASA_INT]])+1)^(30/360) -1)*(36000/30))/36000</f>
        <v>3.122748466897196E-5</v>
      </c>
      <c r="AM188" s="3">
        <f>Tabla9[[#This Row],[TEA DIARIA]]*Tabla9[[#This Row],[SALDO_PROM_CORREGIDO]]*Tabla9[[#This Row],[DIAS]]</f>
        <v>2537.2669564642842</v>
      </c>
      <c r="AN188" s="3">
        <f>Tabla9[[#This Row],[TEA DIARIA]]*Tabla9[[#This Row],[COMPROMISO]]*Tabla9[[#This Row],[DIAS]]</f>
        <v>14052.368101037382</v>
      </c>
      <c r="AO188" s="14">
        <f>+Tabla9[[#This Row],[PROYECTADO_FTP_MONTO]]-Tabla9[[#This Row],[PROYECCION_INTERES]]</f>
        <v>41025.35117033845</v>
      </c>
      <c r="AP188" s="3">
        <f>Tabla9[[#This Row],[PROYECCION_MARGEN(FTP - Int compromiso)]]-Tabla9[[#This Row],[REAL_MARGEN(FTP - Int)]]</f>
        <v>33614.809184497266</v>
      </c>
    </row>
    <row r="189" spans="1:42" x14ac:dyDescent="0.35">
      <c r="A189">
        <v>202604</v>
      </c>
      <c r="B189" s="7">
        <v>46142</v>
      </c>
      <c r="C189">
        <v>13218394</v>
      </c>
      <c r="D189" t="s">
        <v>29</v>
      </c>
      <c r="E189" t="s">
        <v>35</v>
      </c>
      <c r="F189" t="s">
        <v>169</v>
      </c>
      <c r="G189" t="s">
        <v>35</v>
      </c>
      <c r="H189" t="s">
        <v>510</v>
      </c>
      <c r="I189" t="s">
        <v>244</v>
      </c>
      <c r="J189" t="str">
        <f t="shared" ref="J189" si="184">IF(I189="SOLES","4.4963","3.388")</f>
        <v>3.388</v>
      </c>
      <c r="K189" t="s">
        <v>32</v>
      </c>
      <c r="L189" t="s">
        <v>33</v>
      </c>
      <c r="M189" t="s">
        <v>34</v>
      </c>
      <c r="N189" t="s">
        <v>412</v>
      </c>
      <c r="O189" t="s">
        <v>44</v>
      </c>
      <c r="P189" s="3">
        <v>4938426.6635999996</v>
      </c>
      <c r="Q189" s="3">
        <v>4230707.1311999997</v>
      </c>
      <c r="R189" s="4">
        <v>3.39E-2</v>
      </c>
      <c r="S189" s="3">
        <f>+Tabla9[[#This Row],[SAL_PROM_SOL]]</f>
        <v>4938426.6635999996</v>
      </c>
      <c r="T189" s="4">
        <v>2.0799999999999999E-2</v>
      </c>
      <c r="U189" s="4">
        <v>1.3100000000000001E-2</v>
      </c>
      <c r="V189" s="3">
        <v>13730.890600000001</v>
      </c>
      <c r="W189" s="3">
        <v>8475.8397000000004</v>
      </c>
      <c r="X189" s="3">
        <v>5255.0509000000002</v>
      </c>
      <c r="Y189" s="3">
        <v>37.0122</v>
      </c>
      <c r="Z189" s="3">
        <v>5218.0387000000001</v>
      </c>
      <c r="AA189">
        <v>30</v>
      </c>
      <c r="AB189" t="b">
        <f t="shared" si="142"/>
        <v>1</v>
      </c>
      <c r="AC189" s="3">
        <v>1500000</v>
      </c>
      <c r="AD189" t="s">
        <v>45</v>
      </c>
      <c r="AE189" s="8">
        <v>46155.560022106481</v>
      </c>
      <c r="AF189" s="6">
        <f t="shared" ref="AF189" si="185">S189/AC189</f>
        <v>3.2922844423999997</v>
      </c>
      <c r="AG189" s="6" t="b">
        <f>+Tabla9[[#This Row],[CUMPLIMIENTO]]&lt;100%</f>
        <v>0</v>
      </c>
      <c r="AH189" s="12">
        <f>((( (Tabla9[[#This Row],[FTP_CIERRE_MES]]/100)+1)^(30/360) -1)*(36000/30))/36000</f>
        <v>9.2680593701059222E-5</v>
      </c>
      <c r="AI189" s="3">
        <f>Tabla9[[#This Row],[FTP_DIARIO]]*Tabla9[[#This Row],[SALDO_PROM_CORREGIDO]]*Tabla9[[#This Row],[DIAS]]</f>
        <v>13730.889453947671</v>
      </c>
      <c r="AJ189" s="3">
        <f>Tabla9[[#This Row],[REAL_FTP_MONTO]]-Tabla9[[#This Row],[INT_REAL]]</f>
        <v>5255.049753947671</v>
      </c>
      <c r="AK189" s="3">
        <f>Tabla9[[#This Row],[FTP_DIARIO]]*Tabla9[[#This Row],[COMPROMISO]]*Tabla9[[#This Row],[DIAS]]</f>
        <v>4170.6267165476647</v>
      </c>
      <c r="AL189" s="13">
        <f>((( (Tabla9[[#This Row],[TASA_INT]])+1)^(30/360) -1)*(36000/30))/36000</f>
        <v>5.723417344264773E-5</v>
      </c>
      <c r="AM189" s="3">
        <f>Tabla9[[#This Row],[TEA DIARIA]]*Tabla9[[#This Row],[SALDO_PROM_CORREGIDO]]*Tabla9[[#This Row],[DIAS]]</f>
        <v>8479.4030459483565</v>
      </c>
      <c r="AN189" s="3">
        <f>Tabla9[[#This Row],[TEA DIARIA]]*Tabla9[[#This Row],[COMPROMISO]]*Tabla9[[#This Row],[DIAS]]</f>
        <v>2575.5378049191481</v>
      </c>
      <c r="AO189" s="14">
        <f>+Tabla9[[#This Row],[PROYECTADO_FTP_MONTO]]-Tabla9[[#This Row],[PROYECCION_INTERES]]</f>
        <v>1595.0889116285166</v>
      </c>
      <c r="AP189" s="3">
        <f>Tabla9[[#This Row],[PROYECCION_MARGEN(FTP - Int compromiso)]]-Tabla9[[#This Row],[REAL_MARGEN(FTP - Int)]]</f>
        <v>-3659.9608423191544</v>
      </c>
    </row>
    <row r="190" spans="1:42" x14ac:dyDescent="0.35">
      <c r="A190">
        <v>202604</v>
      </c>
      <c r="B190" s="7">
        <v>46142</v>
      </c>
      <c r="C190">
        <v>13240404</v>
      </c>
      <c r="D190" t="s">
        <v>29</v>
      </c>
      <c r="E190" t="s">
        <v>30</v>
      </c>
      <c r="F190" t="s">
        <v>170</v>
      </c>
      <c r="G190" t="s">
        <v>30</v>
      </c>
      <c r="H190" t="s">
        <v>519</v>
      </c>
      <c r="I190" t="s">
        <v>243</v>
      </c>
      <c r="J190" t="str">
        <f t="shared" ref="J190" si="186">IF(I190="SOLES","4.4963","3.388")</f>
        <v>4.4963</v>
      </c>
      <c r="K190" t="s">
        <v>32</v>
      </c>
      <c r="L190" t="s">
        <v>33</v>
      </c>
      <c r="M190" t="s">
        <v>31</v>
      </c>
      <c r="N190" t="s">
        <v>413</v>
      </c>
      <c r="O190" t="s">
        <v>44</v>
      </c>
      <c r="P190" s="3">
        <v>33365599.438700002</v>
      </c>
      <c r="Q190" s="3">
        <v>30220640.440000001</v>
      </c>
      <c r="R190" s="4">
        <v>4.4999999999999998E-2</v>
      </c>
      <c r="S190" s="3">
        <f>+Tabla9[[#This Row],[SAL_PROM_SOL]]</f>
        <v>33365599.438700002</v>
      </c>
      <c r="T190" s="4">
        <v>2.46E-2</v>
      </c>
      <c r="U190" s="4">
        <v>2.0400000000000001E-2</v>
      </c>
      <c r="V190" s="3">
        <v>122513.4086</v>
      </c>
      <c r="W190" s="3">
        <v>67635.858600000007</v>
      </c>
      <c r="X190" s="3">
        <v>54877.55</v>
      </c>
      <c r="Y190" s="3">
        <v>43.9499</v>
      </c>
      <c r="Z190" s="3">
        <v>54833.600100000003</v>
      </c>
      <c r="AA190">
        <v>30</v>
      </c>
      <c r="AB190" t="b">
        <f t="shared" si="142"/>
        <v>1</v>
      </c>
      <c r="AC190" s="3">
        <v>30000000</v>
      </c>
      <c r="AD190" t="s">
        <v>46</v>
      </c>
      <c r="AE190" s="8">
        <v>46155.560022106481</v>
      </c>
      <c r="AF190" s="6">
        <f t="shared" ref="AF190" si="187">S190/AC190</f>
        <v>1.1121866479566667</v>
      </c>
      <c r="AG190" s="6" t="b">
        <f>+Tabla9[[#This Row],[CUMPLIMIENTO]]&lt;100%</f>
        <v>0</v>
      </c>
      <c r="AH190" s="12">
        <f>((( (Tabla9[[#This Row],[FTP_CIERRE_MES]]/100)+1)^(30/360) -1)*(36000/30))/36000</f>
        <v>1.2239493171416853E-4</v>
      </c>
      <c r="AI190" s="3">
        <f>Tabla9[[#This Row],[FTP_DIARIO]]*Tabla9[[#This Row],[SALDO_PROM_CORREGIDO]]*Tabla9[[#This Row],[DIAS]]</f>
        <v>122513.40794705959</v>
      </c>
      <c r="AJ190" s="3">
        <f>Tabla9[[#This Row],[REAL_FTP_MONTO]]-Tabla9[[#This Row],[INT_REAL]]</f>
        <v>54877.549347059583</v>
      </c>
      <c r="AK190" s="3">
        <f>Tabla9[[#This Row],[FTP_DIARIO]]*Tabla9[[#This Row],[COMPROMISO]]*Tabla9[[#This Row],[DIAS]]</f>
        <v>110155.43854275167</v>
      </c>
      <c r="AL190" s="13">
        <f>((( (Tabla9[[#This Row],[TASA_INT]])+1)^(30/360) -1)*(36000/30))/36000</f>
        <v>6.7574770933857362E-5</v>
      </c>
      <c r="AM190" s="3">
        <f>Tabla9[[#This Row],[TEA DIARIA]]*Tabla9[[#This Row],[SALDO_PROM_CORREGIDO]]*Tabla9[[#This Row],[DIAS]]</f>
        <v>67640.182174229762</v>
      </c>
      <c r="AN190" s="3">
        <f>Tabla9[[#This Row],[TEA DIARIA]]*Tabla9[[#This Row],[COMPROMISO]]*Tabla9[[#This Row],[DIAS]]</f>
        <v>60817.293840471626</v>
      </c>
      <c r="AO190" s="14">
        <f>+Tabla9[[#This Row],[PROYECTADO_FTP_MONTO]]-Tabla9[[#This Row],[PROYECCION_INTERES]]</f>
        <v>49338.144702280042</v>
      </c>
      <c r="AP190" s="3">
        <f>Tabla9[[#This Row],[PROYECCION_MARGEN(FTP - Int compromiso)]]-Tabla9[[#This Row],[REAL_MARGEN(FTP - Int)]]</f>
        <v>-5539.4046447795408</v>
      </c>
    </row>
    <row r="191" spans="1:42" x14ac:dyDescent="0.35">
      <c r="A191">
        <v>202604</v>
      </c>
      <c r="B191" s="7">
        <v>46142</v>
      </c>
      <c r="C191">
        <v>13335831</v>
      </c>
      <c r="D191" t="s">
        <v>29</v>
      </c>
      <c r="E191" t="s">
        <v>35</v>
      </c>
      <c r="F191" t="s">
        <v>54</v>
      </c>
      <c r="G191" t="s">
        <v>35</v>
      </c>
      <c r="H191" t="s">
        <v>518</v>
      </c>
      <c r="I191" t="s">
        <v>243</v>
      </c>
      <c r="J191" t="str">
        <f t="shared" ref="J191" si="188">IF(I191="SOLES","4.4963","3.388")</f>
        <v>4.4963</v>
      </c>
      <c r="K191" t="s">
        <v>32</v>
      </c>
      <c r="L191" t="s">
        <v>41</v>
      </c>
      <c r="M191" t="s">
        <v>31</v>
      </c>
      <c r="N191" t="s">
        <v>325</v>
      </c>
      <c r="O191" t="s">
        <v>44</v>
      </c>
      <c r="P191" s="3">
        <v>2588583.9493999998</v>
      </c>
      <c r="Q191" s="3">
        <v>2379051.91</v>
      </c>
      <c r="R191" s="4">
        <v>4.4999999999999998E-2</v>
      </c>
      <c r="S191" s="3">
        <f>+Tabla9[[#This Row],[SAL_PROM_SOL]]</f>
        <v>2588583.9493999998</v>
      </c>
      <c r="T191" s="4">
        <v>1.6899999999999998E-2</v>
      </c>
      <c r="U191" s="4">
        <v>2.81E-2</v>
      </c>
      <c r="V191" s="3">
        <v>9504.8904000000002</v>
      </c>
      <c r="W191" s="3">
        <v>3617.8011000000001</v>
      </c>
      <c r="X191" s="3">
        <v>5887.0892999999996</v>
      </c>
      <c r="Y191" s="3">
        <v>0</v>
      </c>
      <c r="Z191" s="3">
        <v>5887.0892999999996</v>
      </c>
      <c r="AA191">
        <v>30</v>
      </c>
      <c r="AB191" t="b">
        <f t="shared" si="142"/>
        <v>1</v>
      </c>
      <c r="AC191" s="3">
        <v>2000000</v>
      </c>
      <c r="AD191" t="s">
        <v>46</v>
      </c>
      <c r="AE191" s="8">
        <v>46155.560022106481</v>
      </c>
      <c r="AF191" s="6">
        <f t="shared" ref="AF191" si="189">S191/AC191</f>
        <v>1.2942919746999999</v>
      </c>
      <c r="AG191" s="6" t="b">
        <f>+Tabla9[[#This Row],[CUMPLIMIENTO]]&lt;100%</f>
        <v>0</v>
      </c>
      <c r="AH191" s="12">
        <f>((( (Tabla9[[#This Row],[FTP_CIERRE_MES]]/100)+1)^(30/360) -1)*(36000/30))/36000</f>
        <v>1.2239493171416853E-4</v>
      </c>
      <c r="AI191" s="3">
        <f>Tabla9[[#This Row],[FTP_DIARIO]]*Tabla9[[#This Row],[SALDO_PROM_CORREGIDO]]*Tabla9[[#This Row],[DIAS]]</f>
        <v>9504.8866716961693</v>
      </c>
      <c r="AJ191" s="3">
        <f>Tabla9[[#This Row],[REAL_FTP_MONTO]]-Tabla9[[#This Row],[INT_REAL]]</f>
        <v>5887.0855716961687</v>
      </c>
      <c r="AK191" s="3">
        <f>Tabla9[[#This Row],[FTP_DIARIO]]*Tabla9[[#This Row],[COMPROMISO]]*Tabla9[[#This Row],[DIAS]]</f>
        <v>7343.6959028501115</v>
      </c>
      <c r="AL191" s="13">
        <f>((( (Tabla9[[#This Row],[TASA_INT]])+1)^(30/360) -1)*(36000/30))/36000</f>
        <v>4.658469897969031E-5</v>
      </c>
      <c r="AM191" s="3">
        <f>Tabla9[[#This Row],[TEA DIARIA]]*Tabla9[[#This Row],[SALDO_PROM_CORREGIDO]]*Tabla9[[#This Row],[DIAS]]</f>
        <v>3617.6521219937067</v>
      </c>
      <c r="AN191" s="3">
        <f>Tabla9[[#This Row],[TEA DIARIA]]*Tabla9[[#This Row],[COMPROMISO]]*Tabla9[[#This Row],[DIAS]]</f>
        <v>2795.0819387814186</v>
      </c>
      <c r="AO191" s="14">
        <f>+Tabla9[[#This Row],[PROYECTADO_FTP_MONTO]]-Tabla9[[#This Row],[PROYECCION_INTERES]]</f>
        <v>4548.6139640686924</v>
      </c>
      <c r="AP191" s="3">
        <f>Tabla9[[#This Row],[PROYECCION_MARGEN(FTP - Int compromiso)]]-Tabla9[[#This Row],[REAL_MARGEN(FTP - Int)]]</f>
        <v>-1338.4716076274763</v>
      </c>
    </row>
    <row r="192" spans="1:42" x14ac:dyDescent="0.35">
      <c r="A192">
        <v>202604</v>
      </c>
      <c r="B192" s="7">
        <v>46142</v>
      </c>
      <c r="C192">
        <v>13447954</v>
      </c>
      <c r="D192" t="s">
        <v>29</v>
      </c>
      <c r="E192" t="s">
        <v>40</v>
      </c>
      <c r="F192" t="s">
        <v>171</v>
      </c>
      <c r="G192" t="s">
        <v>40</v>
      </c>
      <c r="H192" t="s">
        <v>490</v>
      </c>
      <c r="I192" t="s">
        <v>244</v>
      </c>
      <c r="J192" t="str">
        <f t="shared" ref="J192:J194" si="190">IF(I192="SOLES","4.4963","3.388")</f>
        <v>3.388</v>
      </c>
      <c r="K192" t="s">
        <v>32</v>
      </c>
      <c r="L192" t="s">
        <v>33</v>
      </c>
      <c r="M192" t="s">
        <v>34</v>
      </c>
      <c r="N192" t="s">
        <v>414</v>
      </c>
      <c r="O192" t="s">
        <v>44</v>
      </c>
      <c r="P192" s="3">
        <v>16051458.773600001</v>
      </c>
      <c r="Q192" s="3">
        <v>16913436.6226</v>
      </c>
      <c r="R192" s="4">
        <v>3.39E-2</v>
      </c>
      <c r="S192" s="3">
        <f>+Tabla9[[#This Row],[SAL_PROM_SOL]]</f>
        <v>16051458.773600001</v>
      </c>
      <c r="T192" s="4">
        <v>3.1E-2</v>
      </c>
      <c r="U192" s="4">
        <v>2.8999999999999998E-3</v>
      </c>
      <c r="V192" s="3">
        <v>44629.749799999998</v>
      </c>
      <c r="W192" s="3">
        <v>40870.338100000001</v>
      </c>
      <c r="X192" s="3">
        <v>3759.4117000000001</v>
      </c>
      <c r="Y192" s="3">
        <v>0</v>
      </c>
      <c r="Z192" s="3">
        <v>3759.4117000000001</v>
      </c>
      <c r="AA192">
        <v>30</v>
      </c>
      <c r="AB192" t="b">
        <f t="shared" ref="AB192:AB223" si="191">+AA192=30</f>
        <v>1</v>
      </c>
      <c r="AC192" s="3">
        <v>3000000</v>
      </c>
      <c r="AD192" t="s">
        <v>46</v>
      </c>
      <c r="AE192" s="8">
        <v>46155.560022106481</v>
      </c>
      <c r="AF192" s="6">
        <f t="shared" ref="AF192:AF194" si="192">S192/AC192</f>
        <v>5.3504862578666668</v>
      </c>
      <c r="AG192" s="6" t="b">
        <f>+Tabla9[[#This Row],[CUMPLIMIENTO]]&lt;100%</f>
        <v>0</v>
      </c>
      <c r="AH192" s="12">
        <f>((( (Tabla9[[#This Row],[FTP_CIERRE_MES]]/100)+1)^(30/360) -1)*(36000/30))/36000</f>
        <v>9.2680593701059222E-5</v>
      </c>
      <c r="AI192" s="3">
        <f>Tabla9[[#This Row],[FTP_DIARIO]]*Tabla9[[#This Row],[SALDO_PROM_CORREGIDO]]*Tabla9[[#This Row],[DIAS]]</f>
        <v>44629.761867159723</v>
      </c>
      <c r="AJ192" s="3">
        <f>Tabla9[[#This Row],[REAL_FTP_MONTO]]-Tabla9[[#This Row],[INT_REAL]]</f>
        <v>3759.423767159722</v>
      </c>
      <c r="AK192" s="3">
        <f>Tabla9[[#This Row],[FTP_DIARIO]]*Tabla9[[#This Row],[COMPROMISO]]*Tabla9[[#This Row],[DIAS]]</f>
        <v>8341.2534330953295</v>
      </c>
      <c r="AL192" s="13">
        <f>((( (Tabla9[[#This Row],[TASA_INT]])+1)^(30/360) -1)*(36000/30))/36000</f>
        <v>8.4911312973775152E-5</v>
      </c>
      <c r="AM192" s="3">
        <f>Tabla9[[#This Row],[TEA DIARIA]]*Tabla9[[#This Row],[SALDO_PROM_CORREGIDO]]*Tabla9[[#This Row],[DIAS]]</f>
        <v>40888.513188323959</v>
      </c>
      <c r="AN192" s="3">
        <f>Tabla9[[#This Row],[TEA DIARIA]]*Tabla9[[#This Row],[COMPROMISO]]*Tabla9[[#This Row],[DIAS]]</f>
        <v>7642.0181676397642</v>
      </c>
      <c r="AO192" s="14">
        <f>+Tabla9[[#This Row],[PROYECTADO_FTP_MONTO]]-Tabla9[[#This Row],[PROYECCION_INTERES]]</f>
        <v>699.23526545556524</v>
      </c>
      <c r="AP192" s="3">
        <f>Tabla9[[#This Row],[PROYECCION_MARGEN(FTP - Int compromiso)]]-Tabla9[[#This Row],[REAL_MARGEN(FTP - Int)]]</f>
        <v>-3060.1885017041568</v>
      </c>
    </row>
    <row r="193" spans="1:42" x14ac:dyDescent="0.35">
      <c r="A193">
        <v>202604</v>
      </c>
      <c r="B193" s="7">
        <v>46142</v>
      </c>
      <c r="C193">
        <v>13447954</v>
      </c>
      <c r="D193" t="s">
        <v>29</v>
      </c>
      <c r="E193" t="s">
        <v>40</v>
      </c>
      <c r="F193" t="s">
        <v>171</v>
      </c>
      <c r="G193" t="s">
        <v>40</v>
      </c>
      <c r="H193" t="s">
        <v>490</v>
      </c>
      <c r="I193" t="s">
        <v>243</v>
      </c>
      <c r="J193" t="str">
        <f t="shared" si="190"/>
        <v>4.4963</v>
      </c>
      <c r="K193" t="s">
        <v>32</v>
      </c>
      <c r="L193" t="s">
        <v>33</v>
      </c>
      <c r="M193" t="s">
        <v>31</v>
      </c>
      <c r="N193" t="s">
        <v>415</v>
      </c>
      <c r="O193" t="s">
        <v>44</v>
      </c>
      <c r="P193" s="3">
        <v>1460657.4489</v>
      </c>
      <c r="Q193" s="3">
        <v>1155901.1599999999</v>
      </c>
      <c r="R193" s="4">
        <v>4.4999999999999998E-2</v>
      </c>
      <c r="S193" s="3">
        <f>+Tabla9[[#This Row],[SAL_PROM_SOL]]</f>
        <v>1460657.4489</v>
      </c>
      <c r="T193" s="4">
        <v>3.9E-2</v>
      </c>
      <c r="U193" s="4">
        <v>6.0000000000000001E-3</v>
      </c>
      <c r="V193" s="3">
        <v>5363.3091000000004</v>
      </c>
      <c r="W193" s="3">
        <v>4663.8499000000002</v>
      </c>
      <c r="X193" s="3">
        <v>699.45920000000001</v>
      </c>
      <c r="Y193" s="3">
        <v>0</v>
      </c>
      <c r="Z193" s="3">
        <v>699.45920000000001</v>
      </c>
      <c r="AA193">
        <v>30</v>
      </c>
      <c r="AB193" t="b">
        <f t="shared" si="191"/>
        <v>1</v>
      </c>
      <c r="AC193" s="3">
        <v>1000000</v>
      </c>
      <c r="AD193" t="s">
        <v>46</v>
      </c>
      <c r="AE193" s="8">
        <v>46155.560022106481</v>
      </c>
      <c r="AF193" s="6">
        <f t="shared" si="192"/>
        <v>1.4606574488999999</v>
      </c>
      <c r="AG193" s="6" t="b">
        <f>+Tabla9[[#This Row],[CUMPLIMIENTO]]&lt;100%</f>
        <v>0</v>
      </c>
      <c r="AH193" s="12">
        <f>((( (Tabla9[[#This Row],[FTP_CIERRE_MES]]/100)+1)^(30/360) -1)*(36000/30))/36000</f>
        <v>1.2239493171416853E-4</v>
      </c>
      <c r="AI193" s="3">
        <f>Tabla9[[#This Row],[FTP_DIARIO]]*Tabla9[[#This Row],[SALDO_PROM_CORREGIDO]]*Tabla9[[#This Row],[DIAS]]</f>
        <v>5363.3120614772124</v>
      </c>
      <c r="AJ193" s="3">
        <f>Tabla9[[#This Row],[REAL_FTP_MONTO]]-Tabla9[[#This Row],[INT_REAL]]</f>
        <v>699.46216147721225</v>
      </c>
      <c r="AK193" s="3">
        <f>Tabla9[[#This Row],[FTP_DIARIO]]*Tabla9[[#This Row],[COMPROMISO]]*Tabla9[[#This Row],[DIAS]]</f>
        <v>3671.8479514250557</v>
      </c>
      <c r="AL193" s="13">
        <f>((( (Tabla9[[#This Row],[TASA_INT]])+1)^(30/360) -1)*(36000/30))/36000</f>
        <v>1.0644379359607085E-4</v>
      </c>
      <c r="AM193" s="3">
        <f>Tabla9[[#This Row],[TEA DIARIA]]*Tabla9[[#This Row],[SALDO_PROM_CORREGIDO]]*Tabla9[[#This Row],[DIAS]]</f>
        <v>4664.3376001582501</v>
      </c>
      <c r="AN193" s="3">
        <f>Tabla9[[#This Row],[TEA DIARIA]]*Tabla9[[#This Row],[COMPROMISO]]*Tabla9[[#This Row],[DIAS]]</f>
        <v>3193.3138078821253</v>
      </c>
      <c r="AO193" s="14">
        <f>+Tabla9[[#This Row],[PROYECTADO_FTP_MONTO]]-Tabla9[[#This Row],[PROYECCION_INTERES]]</f>
        <v>478.53414354293045</v>
      </c>
      <c r="AP193" s="3">
        <f>Tabla9[[#This Row],[PROYECCION_MARGEN(FTP - Int compromiso)]]-Tabla9[[#This Row],[REAL_MARGEN(FTP - Int)]]</f>
        <v>-220.9280179342818</v>
      </c>
    </row>
    <row r="194" spans="1:42" x14ac:dyDescent="0.35">
      <c r="A194">
        <v>202604</v>
      </c>
      <c r="B194" s="7">
        <v>46142</v>
      </c>
      <c r="C194">
        <v>13447954</v>
      </c>
      <c r="D194" t="s">
        <v>29</v>
      </c>
      <c r="E194" t="s">
        <v>40</v>
      </c>
      <c r="F194" t="s">
        <v>171</v>
      </c>
      <c r="G194" t="s">
        <v>40</v>
      </c>
      <c r="H194" t="s">
        <v>490</v>
      </c>
      <c r="I194" t="s">
        <v>243</v>
      </c>
      <c r="J194" t="str">
        <f t="shared" si="190"/>
        <v>4.4963</v>
      </c>
      <c r="K194" t="s">
        <v>32</v>
      </c>
      <c r="L194" t="s">
        <v>33</v>
      </c>
      <c r="M194" t="s">
        <v>31</v>
      </c>
      <c r="N194" t="s">
        <v>416</v>
      </c>
      <c r="O194" t="s">
        <v>44</v>
      </c>
      <c r="P194" s="3">
        <v>15992382.051200001</v>
      </c>
      <c r="Q194" s="3">
        <v>15517497.939999999</v>
      </c>
      <c r="R194" s="4">
        <v>4.4999999999999998E-2</v>
      </c>
      <c r="S194" s="3">
        <f>+Tabla9[[#This Row],[SAL_PROM_SOL]]</f>
        <v>15992382.051200001</v>
      </c>
      <c r="T194" s="4">
        <v>3.9E-2</v>
      </c>
      <c r="U194" s="4">
        <v>6.0000000000000001E-3</v>
      </c>
      <c r="V194" s="3">
        <v>58721.601000000002</v>
      </c>
      <c r="W194" s="3">
        <v>51033.991399999999</v>
      </c>
      <c r="X194" s="3">
        <v>7687.6095999999998</v>
      </c>
      <c r="Y194" s="3">
        <v>43.9499</v>
      </c>
      <c r="Z194" s="3">
        <v>7643.6597000000002</v>
      </c>
      <c r="AA194">
        <v>30</v>
      </c>
      <c r="AB194" t="b">
        <f t="shared" si="191"/>
        <v>1</v>
      </c>
      <c r="AC194" s="3">
        <v>8000000</v>
      </c>
      <c r="AD194" t="s">
        <v>46</v>
      </c>
      <c r="AE194" s="8">
        <v>46155.560022106481</v>
      </c>
      <c r="AF194" s="6">
        <f t="shared" si="192"/>
        <v>1.9990477564</v>
      </c>
      <c r="AG194" s="6" t="b">
        <f>+Tabla9[[#This Row],[CUMPLIMIENTO]]&lt;100%</f>
        <v>0</v>
      </c>
      <c r="AH194" s="12">
        <f>((( (Tabla9[[#This Row],[FTP_CIERRE_MES]]/100)+1)^(30/360) -1)*(36000/30))/36000</f>
        <v>1.2239493171416853E-4</v>
      </c>
      <c r="AI194" s="3">
        <f>Tabla9[[#This Row],[FTP_DIARIO]]*Tabla9[[#This Row],[SALDO_PROM_CORREGIDO]]*Tabla9[[#This Row],[DIAS]]</f>
        <v>58721.595273105551</v>
      </c>
      <c r="AJ194" s="3">
        <f>Tabla9[[#This Row],[REAL_FTP_MONTO]]-Tabla9[[#This Row],[INT_REAL]]</f>
        <v>7687.6038731055523</v>
      </c>
      <c r="AK194" s="3">
        <f>Tabla9[[#This Row],[FTP_DIARIO]]*Tabla9[[#This Row],[COMPROMISO]]*Tabla9[[#This Row],[DIAS]]</f>
        <v>29374.783611400446</v>
      </c>
      <c r="AL194" s="13">
        <f>((( (Tabla9[[#This Row],[TASA_INT]])+1)^(30/360) -1)*(36000/30))/36000</f>
        <v>1.0644379359607085E-4</v>
      </c>
      <c r="AM194" s="3">
        <f>Tabla9[[#This Row],[TEA DIARIA]]*Tabla9[[#This Row],[SALDO_PROM_CORREGIDO]]*Tabla9[[#This Row],[DIAS]]</f>
        <v>51068.694425023234</v>
      </c>
      <c r="AN194" s="3">
        <f>Tabla9[[#This Row],[TEA DIARIA]]*Tabla9[[#This Row],[COMPROMISO]]*Tabla9[[#This Row],[DIAS]]</f>
        <v>25546.510463057002</v>
      </c>
      <c r="AO194" s="14">
        <f>+Tabla9[[#This Row],[PROYECTADO_FTP_MONTO]]-Tabla9[[#This Row],[PROYECCION_INTERES]]</f>
        <v>3828.2731483434436</v>
      </c>
      <c r="AP194" s="3">
        <f>Tabla9[[#This Row],[PROYECCION_MARGEN(FTP - Int compromiso)]]-Tabla9[[#This Row],[REAL_MARGEN(FTP - Int)]]</f>
        <v>-3859.3307247621087</v>
      </c>
    </row>
    <row r="195" spans="1:42" x14ac:dyDescent="0.35">
      <c r="A195">
        <v>202604</v>
      </c>
      <c r="B195" s="7">
        <v>46142</v>
      </c>
      <c r="C195">
        <v>13493562</v>
      </c>
      <c r="D195" t="s">
        <v>36</v>
      </c>
      <c r="E195" t="s">
        <v>37</v>
      </c>
      <c r="F195" t="s">
        <v>172</v>
      </c>
      <c r="G195" t="s">
        <v>37</v>
      </c>
      <c r="H195" t="s">
        <v>498</v>
      </c>
      <c r="I195" t="s">
        <v>244</v>
      </c>
      <c r="J195" t="str">
        <f t="shared" ref="J195" si="193">IF(I195="SOLES","4.4963","3.388")</f>
        <v>3.388</v>
      </c>
      <c r="K195" t="s">
        <v>32</v>
      </c>
      <c r="L195" t="s">
        <v>33</v>
      </c>
      <c r="M195" t="s">
        <v>34</v>
      </c>
      <c r="N195" t="s">
        <v>417</v>
      </c>
      <c r="O195" t="s">
        <v>44</v>
      </c>
      <c r="P195" s="3">
        <v>3163056.7626</v>
      </c>
      <c r="Q195" s="3">
        <v>2770455.6244999999</v>
      </c>
      <c r="R195" s="4">
        <v>3.39E-2</v>
      </c>
      <c r="S195" s="3">
        <f>+Tabla9[[#This Row],[SAL_PROM_SOL]]</f>
        <v>3163056.7626</v>
      </c>
      <c r="T195" s="4">
        <v>3.5000000000000001E-3</v>
      </c>
      <c r="U195" s="4">
        <v>3.04E-2</v>
      </c>
      <c r="V195" s="3">
        <v>8794.6270000000004</v>
      </c>
      <c r="W195" s="3">
        <v>923.61919999999998</v>
      </c>
      <c r="X195" s="3">
        <v>7871.0078000000003</v>
      </c>
      <c r="Y195" s="3">
        <v>0</v>
      </c>
      <c r="Z195" s="3">
        <v>7871.0078000000003</v>
      </c>
      <c r="AA195">
        <v>30</v>
      </c>
      <c r="AB195" t="b">
        <f t="shared" si="191"/>
        <v>1</v>
      </c>
      <c r="AC195" s="3">
        <v>15000000</v>
      </c>
      <c r="AD195" t="s">
        <v>46</v>
      </c>
      <c r="AE195" s="8">
        <v>46155.560022106481</v>
      </c>
      <c r="AF195" s="6">
        <f t="shared" ref="AF195" si="194">S195/AC195</f>
        <v>0.21087045084</v>
      </c>
      <c r="AG195" s="6" t="b">
        <f>+Tabla9[[#This Row],[CUMPLIMIENTO]]&lt;100%</f>
        <v>1</v>
      </c>
      <c r="AH195" s="12">
        <f>((( (Tabla9[[#This Row],[FTP_CIERRE_MES]]/100)+1)^(30/360) -1)*(36000/30))/36000</f>
        <v>9.2680593701059222E-5</v>
      </c>
      <c r="AI195" s="3">
        <f>Tabla9[[#This Row],[FTP_DIARIO]]*Tabla9[[#This Row],[SALDO_PROM_CORREGIDO]]*Tabla9[[#This Row],[DIAS]]</f>
        <v>8794.61936003755</v>
      </c>
      <c r="AJ195" s="3">
        <f>Tabla9[[#This Row],[REAL_FTP_MONTO]]-Tabla9[[#This Row],[INT_REAL]]</f>
        <v>7871.0001600375499</v>
      </c>
      <c r="AK195" s="3">
        <f>Tabla9[[#This Row],[FTP_DIARIO]]*Tabla9[[#This Row],[COMPROMISO]]*Tabla9[[#This Row],[DIAS]]</f>
        <v>41706.267165476653</v>
      </c>
      <c r="AL195" s="13">
        <f>((( (Tabla9[[#This Row],[TASA_INT]])+1)^(30/360) -1)*(36000/30))/36000</f>
        <v>9.7066609431835826E-6</v>
      </c>
      <c r="AM195" s="3">
        <f>Tabla9[[#This Row],[TEA DIARIA]]*Tabla9[[#This Row],[SALDO_PROM_CORREGIDO]]*Tabla9[[#This Row],[DIAS]]</f>
        <v>921.08158615806371</v>
      </c>
      <c r="AN195" s="3">
        <f>Tabla9[[#This Row],[TEA DIARIA]]*Tabla9[[#This Row],[COMPROMISO]]*Tabla9[[#This Row],[DIAS]]</f>
        <v>4367.9974244326122</v>
      </c>
      <c r="AO195" s="14">
        <f>+Tabla9[[#This Row],[PROYECTADO_FTP_MONTO]]-Tabla9[[#This Row],[PROYECCION_INTERES]]</f>
        <v>37338.269741044038</v>
      </c>
      <c r="AP195" s="3">
        <f>Tabla9[[#This Row],[PROYECCION_MARGEN(FTP - Int compromiso)]]-Tabla9[[#This Row],[REAL_MARGEN(FTP - Int)]]</f>
        <v>29467.269581006487</v>
      </c>
    </row>
    <row r="196" spans="1:42" x14ac:dyDescent="0.35">
      <c r="A196">
        <v>202604</v>
      </c>
      <c r="B196" s="7">
        <v>46142</v>
      </c>
      <c r="C196">
        <v>13514488</v>
      </c>
      <c r="D196" t="s">
        <v>36</v>
      </c>
      <c r="E196" t="s">
        <v>37</v>
      </c>
      <c r="F196" t="s">
        <v>173</v>
      </c>
      <c r="G196" t="s">
        <v>37</v>
      </c>
      <c r="H196" t="s">
        <v>511</v>
      </c>
      <c r="I196" t="s">
        <v>243</v>
      </c>
      <c r="J196" t="str">
        <f t="shared" ref="J196" si="195">IF(I196="SOLES","4.4963","3.388")</f>
        <v>4.4963</v>
      </c>
      <c r="K196" t="s">
        <v>32</v>
      </c>
      <c r="L196" t="s">
        <v>33</v>
      </c>
      <c r="M196" t="s">
        <v>31</v>
      </c>
      <c r="N196" t="s">
        <v>418</v>
      </c>
      <c r="O196" t="s">
        <v>44</v>
      </c>
      <c r="P196" s="3">
        <v>4990811.3887</v>
      </c>
      <c r="Q196" s="3">
        <v>299200.40000000002</v>
      </c>
      <c r="R196" s="4">
        <v>4.4999999999999998E-2</v>
      </c>
      <c r="S196" s="3">
        <f>+Tabla9[[#This Row],[SAL_PROM_SOL]]</f>
        <v>4990811.3887</v>
      </c>
      <c r="T196" s="4">
        <v>3.9300000000000002E-2</v>
      </c>
      <c r="U196" s="4">
        <v>5.7000000000000002E-3</v>
      </c>
      <c r="V196" s="3">
        <v>18325.498299999999</v>
      </c>
      <c r="W196" s="3">
        <v>16060.021500000001</v>
      </c>
      <c r="X196" s="3">
        <v>2265.4767999999999</v>
      </c>
      <c r="Y196" s="3">
        <v>43.9499</v>
      </c>
      <c r="Z196" s="3">
        <v>2221.5268999999998</v>
      </c>
      <c r="AA196">
        <v>30</v>
      </c>
      <c r="AB196" t="b">
        <f t="shared" si="191"/>
        <v>1</v>
      </c>
      <c r="AC196" s="3">
        <v>7000000</v>
      </c>
      <c r="AD196" t="s">
        <v>46</v>
      </c>
      <c r="AE196" s="8">
        <v>46155.560022106481</v>
      </c>
      <c r="AF196" s="6">
        <f t="shared" ref="AF196" si="196">S196/AC196</f>
        <v>0.71297305552857138</v>
      </c>
      <c r="AG196" s="6" t="b">
        <f>+Tabla9[[#This Row],[CUMPLIMIENTO]]&lt;100%</f>
        <v>1</v>
      </c>
      <c r="AH196" s="12">
        <f>((( (Tabla9[[#This Row],[FTP_CIERRE_MES]]/100)+1)^(30/360) -1)*(36000/30))/36000</f>
        <v>1.2239493171416853E-4</v>
      </c>
      <c r="AI196" s="3">
        <f>Tabla9[[#This Row],[FTP_DIARIO]]*Tabla9[[#This Row],[SALDO_PROM_CORREGIDO]]*Tabla9[[#This Row],[DIAS]]</f>
        <v>18325.500573546931</v>
      </c>
      <c r="AJ196" s="3">
        <f>Tabla9[[#This Row],[REAL_FTP_MONTO]]-Tabla9[[#This Row],[INT_REAL]]</f>
        <v>2265.4790735469305</v>
      </c>
      <c r="AK196" s="3">
        <f>Tabla9[[#This Row],[FTP_DIARIO]]*Tabla9[[#This Row],[COMPROMISO]]*Tabla9[[#This Row],[DIAS]]</f>
        <v>25702.935659975392</v>
      </c>
      <c r="AL196" s="13">
        <f>((( (Tabla9[[#This Row],[TASA_INT]])+1)^(30/360) -1)*(36000/30))/36000</f>
        <v>1.0724830159808037E-4</v>
      </c>
      <c r="AM196" s="3">
        <f>Tabla9[[#This Row],[TEA DIARIA]]*Tabla9[[#This Row],[SALDO_PROM_CORREGIDO]]*Tabla9[[#This Row],[DIAS]]</f>
        <v>16057.681351032959</v>
      </c>
      <c r="AN196" s="3">
        <f>Tabla9[[#This Row],[TEA DIARIA]]*Tabla9[[#This Row],[COMPROMISO]]*Tabla9[[#This Row],[DIAS]]</f>
        <v>22522.143335596877</v>
      </c>
      <c r="AO196" s="14">
        <f>+Tabla9[[#This Row],[PROYECTADO_FTP_MONTO]]-Tabla9[[#This Row],[PROYECCION_INTERES]]</f>
        <v>3180.7923243785153</v>
      </c>
      <c r="AP196" s="3">
        <f>Tabla9[[#This Row],[PROYECCION_MARGEN(FTP - Int compromiso)]]-Tabla9[[#This Row],[REAL_MARGEN(FTP - Int)]]</f>
        <v>915.31325083158481</v>
      </c>
    </row>
    <row r="197" spans="1:42" x14ac:dyDescent="0.35">
      <c r="A197">
        <v>202604</v>
      </c>
      <c r="B197" s="7">
        <v>46142</v>
      </c>
      <c r="C197">
        <v>13735805</v>
      </c>
      <c r="D197" t="s">
        <v>36</v>
      </c>
      <c r="E197" t="s">
        <v>37</v>
      </c>
      <c r="F197" t="s">
        <v>174</v>
      </c>
      <c r="G197" t="s">
        <v>37</v>
      </c>
      <c r="H197" t="s">
        <v>491</v>
      </c>
      <c r="I197" t="s">
        <v>243</v>
      </c>
      <c r="J197" t="str">
        <f t="shared" ref="J197:J198" si="197">IF(I197="SOLES","4.4963","3.388")</f>
        <v>4.4963</v>
      </c>
      <c r="K197" t="s">
        <v>32</v>
      </c>
      <c r="L197" t="s">
        <v>33</v>
      </c>
      <c r="M197" t="s">
        <v>31</v>
      </c>
      <c r="N197" t="s">
        <v>288</v>
      </c>
      <c r="O197" t="s">
        <v>44</v>
      </c>
      <c r="P197" s="3">
        <v>8447521.1083000004</v>
      </c>
      <c r="Q197" s="3">
        <v>6001380.2800000003</v>
      </c>
      <c r="R197" s="4">
        <v>4.4999999999999998E-2</v>
      </c>
      <c r="S197" s="3">
        <f>+Tabla9[[#This Row],[SAL_PROM_SOL]]</f>
        <v>8447521.1083000004</v>
      </c>
      <c r="T197" s="4">
        <v>5.5999999999999999E-3</v>
      </c>
      <c r="U197" s="4">
        <v>3.9399999999999998E-2</v>
      </c>
      <c r="V197" s="3">
        <v>31018.0111</v>
      </c>
      <c r="W197" s="3">
        <v>3956.6612</v>
      </c>
      <c r="X197" s="3">
        <v>27061.349900000001</v>
      </c>
      <c r="Y197" s="3">
        <v>43.9499</v>
      </c>
      <c r="Z197" s="3">
        <v>27017.4</v>
      </c>
      <c r="AA197">
        <v>30</v>
      </c>
      <c r="AB197" t="b">
        <f t="shared" si="191"/>
        <v>1</v>
      </c>
      <c r="AC197" s="3">
        <v>2000000</v>
      </c>
      <c r="AD197" t="s">
        <v>45</v>
      </c>
      <c r="AE197" s="8">
        <v>46155.560022106481</v>
      </c>
      <c r="AF197" s="6">
        <f t="shared" ref="AF197:AF198" si="198">S197/AC197</f>
        <v>4.2237605541500001</v>
      </c>
      <c r="AG197" s="6" t="b">
        <f>+Tabla9[[#This Row],[CUMPLIMIENTO]]&lt;100%</f>
        <v>0</v>
      </c>
      <c r="AH197" s="12">
        <f>((( (Tabla9[[#This Row],[FTP_CIERRE_MES]]/100)+1)^(30/360) -1)*(36000/30))/36000</f>
        <v>1.2239493171416853E-4</v>
      </c>
      <c r="AI197" s="3">
        <f>Tabla9[[#This Row],[FTP_DIARIO]]*Tabla9[[#This Row],[SALDO_PROM_CORREGIDO]]*Tabla9[[#This Row],[DIAS]]</f>
        <v>31018.013076131272</v>
      </c>
      <c r="AJ197" s="3">
        <f>Tabla9[[#This Row],[REAL_FTP_MONTO]]-Tabla9[[#This Row],[INT_REAL]]</f>
        <v>27061.351876131273</v>
      </c>
      <c r="AK197" s="3">
        <f>Tabla9[[#This Row],[FTP_DIARIO]]*Tabla9[[#This Row],[COMPROMISO]]*Tabla9[[#This Row],[DIAS]]</f>
        <v>7343.6959028501115</v>
      </c>
      <c r="AL197" s="13">
        <f>((( (Tabla9[[#This Row],[TASA_INT]])+1)^(30/360) -1)*(36000/30))/36000</f>
        <v>1.5515771894980547E-5</v>
      </c>
      <c r="AM197" s="3">
        <f>Tabla9[[#This Row],[TEA DIARIA]]*Tabla9[[#This Row],[SALDO_PROM_CORREGIDO]]*Tabla9[[#This Row],[DIAS]]</f>
        <v>3932.0943178324815</v>
      </c>
      <c r="AN197" s="3">
        <f>Tabla9[[#This Row],[TEA DIARIA]]*Tabla9[[#This Row],[COMPROMISO]]*Tabla9[[#This Row],[DIAS]]</f>
        <v>930.9463136988328</v>
      </c>
      <c r="AO197" s="14">
        <f>+Tabla9[[#This Row],[PROYECTADO_FTP_MONTO]]-Tabla9[[#This Row],[PROYECCION_INTERES]]</f>
        <v>6412.749589151279</v>
      </c>
      <c r="AP197" s="3">
        <f>Tabla9[[#This Row],[PROYECCION_MARGEN(FTP - Int compromiso)]]-Tabla9[[#This Row],[REAL_MARGEN(FTP - Int)]]</f>
        <v>-20648.602286979993</v>
      </c>
    </row>
    <row r="198" spans="1:42" x14ac:dyDescent="0.35">
      <c r="A198">
        <v>202604</v>
      </c>
      <c r="B198" s="7">
        <v>46142</v>
      </c>
      <c r="C198">
        <v>13735805</v>
      </c>
      <c r="D198" t="s">
        <v>36</v>
      </c>
      <c r="E198" t="s">
        <v>37</v>
      </c>
      <c r="F198" t="s">
        <v>174</v>
      </c>
      <c r="G198" t="s">
        <v>37</v>
      </c>
      <c r="H198" t="s">
        <v>491</v>
      </c>
      <c r="I198" t="s">
        <v>244</v>
      </c>
      <c r="J198" t="str">
        <f t="shared" si="197"/>
        <v>3.388</v>
      </c>
      <c r="K198" t="s">
        <v>32</v>
      </c>
      <c r="L198" t="s">
        <v>33</v>
      </c>
      <c r="M198" t="s">
        <v>34</v>
      </c>
      <c r="N198" t="s">
        <v>419</v>
      </c>
      <c r="O198" t="s">
        <v>44</v>
      </c>
      <c r="P198" s="3">
        <v>2120073.0074999998</v>
      </c>
      <c r="Q198" s="3">
        <v>39532.733</v>
      </c>
      <c r="R198" s="4">
        <v>3.39E-2</v>
      </c>
      <c r="S198" s="3">
        <f>+Tabla9[[#This Row],[SAL_PROM_SOL]]</f>
        <v>2120073.0074999998</v>
      </c>
      <c r="T198" s="4">
        <v>4.1000000000000003E-3</v>
      </c>
      <c r="U198" s="4">
        <v>2.98E-2</v>
      </c>
      <c r="V198" s="3">
        <v>5894.6913999999997</v>
      </c>
      <c r="W198" s="3">
        <v>717.14250000000004</v>
      </c>
      <c r="X198" s="3">
        <v>5177.5488999999998</v>
      </c>
      <c r="Y198" s="3">
        <v>0</v>
      </c>
      <c r="Z198" s="3">
        <v>5177.5488999999998</v>
      </c>
      <c r="AA198">
        <v>30</v>
      </c>
      <c r="AB198" t="b">
        <f t="shared" si="191"/>
        <v>1</v>
      </c>
      <c r="AC198" s="3">
        <v>300000</v>
      </c>
      <c r="AD198" t="s">
        <v>45</v>
      </c>
      <c r="AE198" s="8">
        <v>46155.560022106481</v>
      </c>
      <c r="AF198" s="6">
        <f t="shared" si="198"/>
        <v>7.0669100249999994</v>
      </c>
      <c r="AG198" s="6" t="b">
        <f>+Tabla9[[#This Row],[CUMPLIMIENTO]]&lt;100%</f>
        <v>0</v>
      </c>
      <c r="AH198" s="12">
        <f>((( (Tabla9[[#This Row],[FTP_CIERRE_MES]]/100)+1)^(30/360) -1)*(36000/30))/36000</f>
        <v>9.2680593701059222E-5</v>
      </c>
      <c r="AI198" s="3">
        <f>Tabla9[[#This Row],[FTP_DIARIO]]*Tabla9[[#This Row],[SALDO_PROM_CORREGIDO]]*Tabla9[[#This Row],[DIAS]]</f>
        <v>5894.6887507407046</v>
      </c>
      <c r="AJ198" s="3">
        <f>Tabla9[[#This Row],[REAL_FTP_MONTO]]-Tabla9[[#This Row],[INT_REAL]]</f>
        <v>5177.5462507407046</v>
      </c>
      <c r="AK198" s="3">
        <f>Tabla9[[#This Row],[FTP_DIARIO]]*Tabla9[[#This Row],[COMPROMISO]]*Tabla9[[#This Row],[DIAS]]</f>
        <v>834.12534330953304</v>
      </c>
      <c r="AL198" s="13">
        <f>((( (Tabla9[[#This Row],[TASA_INT]])+1)^(30/360) -1)*(36000/30))/36000</f>
        <v>1.1367543161814689E-5</v>
      </c>
      <c r="AM198" s="3">
        <f>Tabla9[[#This Row],[TEA DIARIA]]*Tabla9[[#This Row],[SALDO_PROM_CORREGIDO]]*Tabla9[[#This Row],[DIAS]]</f>
        <v>723.00064256863584</v>
      </c>
      <c r="AN198" s="3">
        <f>Tabla9[[#This Row],[TEA DIARIA]]*Tabla9[[#This Row],[COMPROMISO]]*Tabla9[[#This Row],[DIAS]]</f>
        <v>102.30788845633221</v>
      </c>
      <c r="AO198" s="14">
        <f>+Tabla9[[#This Row],[PROYECTADO_FTP_MONTO]]-Tabla9[[#This Row],[PROYECCION_INTERES]]</f>
        <v>731.81745485320084</v>
      </c>
      <c r="AP198" s="3">
        <f>Tabla9[[#This Row],[PROYECCION_MARGEN(FTP - Int compromiso)]]-Tabla9[[#This Row],[REAL_MARGEN(FTP - Int)]]</f>
        <v>-4445.728795887504</v>
      </c>
    </row>
    <row r="199" spans="1:42" x14ac:dyDescent="0.35">
      <c r="A199">
        <v>202604</v>
      </c>
      <c r="B199" s="7">
        <v>46142</v>
      </c>
      <c r="C199">
        <v>13835826</v>
      </c>
      <c r="D199" t="s">
        <v>36</v>
      </c>
      <c r="E199" t="s">
        <v>37</v>
      </c>
      <c r="F199" t="s">
        <v>175</v>
      </c>
      <c r="G199" t="s">
        <v>37</v>
      </c>
      <c r="H199" t="s">
        <v>498</v>
      </c>
      <c r="I199" t="s">
        <v>244</v>
      </c>
      <c r="J199" t="str">
        <f t="shared" ref="J199:J200" si="199">IF(I199="SOLES","4.4963","3.388")</f>
        <v>3.388</v>
      </c>
      <c r="K199" t="s">
        <v>32</v>
      </c>
      <c r="L199" t="s">
        <v>33</v>
      </c>
      <c r="M199" t="s">
        <v>34</v>
      </c>
      <c r="N199" t="s">
        <v>420</v>
      </c>
      <c r="O199" t="s">
        <v>44</v>
      </c>
      <c r="P199" s="3">
        <v>457644.48959999997</v>
      </c>
      <c r="Q199" s="3">
        <v>366562.63099999999</v>
      </c>
      <c r="R199" s="4">
        <v>3.39E-2</v>
      </c>
      <c r="S199" s="3">
        <f>+Tabla9[[#This Row],[SAL_PROM_SOL]]</f>
        <v>457644.48959999997</v>
      </c>
      <c r="T199" s="4">
        <v>3.5000000000000001E-3</v>
      </c>
      <c r="U199" s="4">
        <v>3.04E-2</v>
      </c>
      <c r="V199" s="3">
        <v>1272.4295</v>
      </c>
      <c r="W199" s="3">
        <v>133.51949999999999</v>
      </c>
      <c r="X199" s="3">
        <v>1138.9100000000001</v>
      </c>
      <c r="Y199" s="3">
        <v>38.2517</v>
      </c>
      <c r="Z199" s="3">
        <v>1100.6583000000001</v>
      </c>
      <c r="AA199">
        <v>30</v>
      </c>
      <c r="AB199" t="b">
        <f t="shared" si="191"/>
        <v>1</v>
      </c>
      <c r="AC199" s="3">
        <v>15000000</v>
      </c>
      <c r="AD199" t="s">
        <v>46</v>
      </c>
      <c r="AE199" s="8">
        <v>46155.560022106481</v>
      </c>
      <c r="AF199" s="6">
        <f t="shared" ref="AF199:AF201" si="200">S199/AC199</f>
        <v>3.0509632639999999E-2</v>
      </c>
      <c r="AG199" s="6" t="b">
        <f>+Tabla9[[#This Row],[CUMPLIMIENTO]]&lt;100%</f>
        <v>1</v>
      </c>
      <c r="AH199" s="12">
        <f>((( (Tabla9[[#This Row],[FTP_CIERRE_MES]]/100)+1)^(30/360) -1)*(36000/30))/36000</f>
        <v>9.2680593701059222E-5</v>
      </c>
      <c r="AI199" s="3">
        <f>Tabla9[[#This Row],[FTP_DIARIO]]*Tabla9[[#This Row],[SALDO_PROM_CORREGIDO]]*Tabla9[[#This Row],[DIAS]]</f>
        <v>1272.4428900043868</v>
      </c>
      <c r="AJ199" s="3">
        <f>Tabla9[[#This Row],[REAL_FTP_MONTO]]-Tabla9[[#This Row],[INT_REAL]]</f>
        <v>1138.9233900043869</v>
      </c>
      <c r="AK199" s="3">
        <f>Tabla9[[#This Row],[FTP_DIARIO]]*Tabla9[[#This Row],[COMPROMISO]]*Tabla9[[#This Row],[DIAS]]</f>
        <v>41706.267165476653</v>
      </c>
      <c r="AL199" s="13">
        <f>((( (Tabla9[[#This Row],[TASA_INT]])+1)^(30/360) -1)*(36000/30))/36000</f>
        <v>9.7066609431835826E-6</v>
      </c>
      <c r="AM199" s="3">
        <f>Tabla9[[#This Row],[TEA DIARIA]]*Tabla9[[#This Row],[SALDO_PROM_CORREGIDO]]*Tabla9[[#This Row],[DIAS]]</f>
        <v>133.26599679190517</v>
      </c>
      <c r="AN199" s="3">
        <f>Tabla9[[#This Row],[TEA DIARIA]]*Tabla9[[#This Row],[COMPROMISO]]*Tabla9[[#This Row],[DIAS]]</f>
        <v>4367.9974244326122</v>
      </c>
      <c r="AO199" s="14">
        <f>+Tabla9[[#This Row],[PROYECTADO_FTP_MONTO]]-Tabla9[[#This Row],[PROYECCION_INTERES]]</f>
        <v>37338.269741044038</v>
      </c>
      <c r="AP199" s="3">
        <f>Tabla9[[#This Row],[PROYECCION_MARGEN(FTP - Int compromiso)]]-Tabla9[[#This Row],[REAL_MARGEN(FTP - Int)]]</f>
        <v>36199.346351039654</v>
      </c>
    </row>
    <row r="200" spans="1:42" x14ac:dyDescent="0.35">
      <c r="A200">
        <v>202604</v>
      </c>
      <c r="B200" s="7">
        <v>46142</v>
      </c>
      <c r="C200">
        <v>13836601</v>
      </c>
      <c r="D200" t="s">
        <v>36</v>
      </c>
      <c r="E200" t="s">
        <v>37</v>
      </c>
      <c r="F200" t="s">
        <v>176</v>
      </c>
      <c r="G200" t="s">
        <v>37</v>
      </c>
      <c r="H200" t="s">
        <v>498</v>
      </c>
      <c r="I200" t="s">
        <v>244</v>
      </c>
      <c r="J200" t="str">
        <f t="shared" si="199"/>
        <v>3.388</v>
      </c>
      <c r="K200" t="s">
        <v>32</v>
      </c>
      <c r="L200" t="s">
        <v>33</v>
      </c>
      <c r="M200" t="s">
        <v>34</v>
      </c>
      <c r="N200" t="s">
        <v>421</v>
      </c>
      <c r="O200" t="s">
        <v>44</v>
      </c>
      <c r="P200" s="3">
        <v>496543406.99940002</v>
      </c>
      <c r="Q200" s="3">
        <v>564496963.37080002</v>
      </c>
      <c r="R200" s="4">
        <v>3.39E-2</v>
      </c>
      <c r="S200" s="3">
        <f>+Tabla9[[#This Row],[SAL_PROM_SOL]]</f>
        <v>496543406.99940002</v>
      </c>
      <c r="T200" s="4">
        <v>1.7500000000000002E-2</v>
      </c>
      <c r="U200" s="4">
        <v>1.6400000000000001E-2</v>
      </c>
      <c r="V200" s="3">
        <v>1380598.1377000001</v>
      </c>
      <c r="W200" s="3">
        <v>718347.17570000002</v>
      </c>
      <c r="X200" s="3">
        <v>662250.96200000006</v>
      </c>
      <c r="Y200" s="3">
        <v>0</v>
      </c>
      <c r="Z200" s="3">
        <v>662250.96200000006</v>
      </c>
      <c r="AA200">
        <v>30</v>
      </c>
      <c r="AB200" t="b">
        <f t="shared" si="191"/>
        <v>1</v>
      </c>
      <c r="AC200" s="3">
        <v>20000000</v>
      </c>
      <c r="AD200" t="s">
        <v>46</v>
      </c>
      <c r="AE200" s="8">
        <v>46155.560022106481</v>
      </c>
      <c r="AF200" s="6">
        <f t="shared" si="200"/>
        <v>24.82717034997</v>
      </c>
      <c r="AG200" s="6" t="b">
        <f>+Tabla9[[#This Row],[CUMPLIMIENTO]]&lt;100%</f>
        <v>0</v>
      </c>
      <c r="AH200" s="12">
        <f>((( (Tabla9[[#This Row],[FTP_CIERRE_MES]]/100)+1)^(30/360) -1)*(36000/30))/36000</f>
        <v>9.2680593701059222E-5</v>
      </c>
      <c r="AI200" s="3">
        <f>Tabla9[[#This Row],[FTP_DIARIO]]*Tabla9[[#This Row],[SALDO_PROM_CORREGIDO]]*Tabla9[[#This Row],[DIAS]]</f>
        <v>1380598.1327715323</v>
      </c>
      <c r="AJ200" s="3">
        <f>Tabla9[[#This Row],[REAL_FTP_MONTO]]-Tabla9[[#This Row],[INT_REAL]]</f>
        <v>662250.95707153226</v>
      </c>
      <c r="AK200" s="3">
        <f>Tabla9[[#This Row],[FTP_DIARIO]]*Tabla9[[#This Row],[COMPROMISO]]*Tabla9[[#This Row],[DIAS]]</f>
        <v>55608.356220635527</v>
      </c>
      <c r="AL200" s="13">
        <f>((( (Tabla9[[#This Row],[TASA_INT]])+1)^(30/360) -1)*(36000/30))/36000</f>
        <v>4.8225513932546409E-5</v>
      </c>
      <c r="AM200" s="3">
        <f>Tabla9[[#This Row],[TEA DIARIA]]*Tabla9[[#This Row],[SALDO_PROM_CORREGIDO]]*Tabla9[[#This Row],[DIAS]]</f>
        <v>718381.82977090892</v>
      </c>
      <c r="AN200" s="3">
        <f>Tabla9[[#This Row],[TEA DIARIA]]*Tabla9[[#This Row],[COMPROMISO]]*Tabla9[[#This Row],[DIAS]]</f>
        <v>28935.308359527844</v>
      </c>
      <c r="AO200" s="14">
        <f>+Tabla9[[#This Row],[PROYECTADO_FTP_MONTO]]-Tabla9[[#This Row],[PROYECCION_INTERES]]</f>
        <v>26673.047861107683</v>
      </c>
      <c r="AP200" s="3">
        <f>Tabla9[[#This Row],[PROYECCION_MARGEN(FTP - Int compromiso)]]-Tabla9[[#This Row],[REAL_MARGEN(FTP - Int)]]</f>
        <v>-635577.90921042464</v>
      </c>
    </row>
    <row r="201" spans="1:42" x14ac:dyDescent="0.35">
      <c r="A201">
        <v>202604</v>
      </c>
      <c r="B201" s="7">
        <v>46142</v>
      </c>
      <c r="C201">
        <v>13836601</v>
      </c>
      <c r="D201" t="s">
        <v>36</v>
      </c>
      <c r="E201" t="s">
        <v>37</v>
      </c>
      <c r="F201" t="s">
        <v>176</v>
      </c>
      <c r="G201" t="s">
        <v>37</v>
      </c>
      <c r="H201" t="s">
        <v>498</v>
      </c>
      <c r="I201" t="s">
        <v>243</v>
      </c>
      <c r="J201" t="str">
        <f t="shared" ref="J201" si="201">IF(I201="SOLES","4.4963","3.388")</f>
        <v>4.4963</v>
      </c>
      <c r="K201" t="s">
        <v>32</v>
      </c>
      <c r="L201" t="s">
        <v>33</v>
      </c>
      <c r="M201" t="s">
        <v>31</v>
      </c>
      <c r="N201" t="s">
        <v>266</v>
      </c>
      <c r="O201" t="s">
        <v>44</v>
      </c>
      <c r="P201" s="3">
        <v>109000402.5513</v>
      </c>
      <c r="Q201" s="3">
        <v>102725034.75</v>
      </c>
      <c r="R201" s="4">
        <v>4.4999999999999998E-2</v>
      </c>
      <c r="S201" s="3">
        <f>+Tabla9[[#This Row],[SAL_PROM_SOL]]</f>
        <v>109000402.5513</v>
      </c>
      <c r="T201" s="4">
        <v>0.02</v>
      </c>
      <c r="U201" s="4">
        <v>2.5000000000000001E-2</v>
      </c>
      <c r="V201" s="3">
        <v>400232.89840000001</v>
      </c>
      <c r="W201" s="3">
        <v>180013.12</v>
      </c>
      <c r="X201" s="3">
        <v>220219.77840000001</v>
      </c>
      <c r="Y201" s="3">
        <v>0</v>
      </c>
      <c r="Z201" s="3">
        <v>220219.77840000001</v>
      </c>
      <c r="AA201">
        <v>30</v>
      </c>
      <c r="AB201" t="b">
        <f t="shared" si="191"/>
        <v>1</v>
      </c>
      <c r="AC201" s="3">
        <v>20000000</v>
      </c>
      <c r="AD201" t="s">
        <v>46</v>
      </c>
      <c r="AE201" s="8">
        <v>46155.560022106481</v>
      </c>
      <c r="AF201" s="6">
        <f t="shared" si="200"/>
        <v>5.4500201275650006</v>
      </c>
      <c r="AG201" s="6" t="b">
        <f>+Tabla9[[#This Row],[CUMPLIMIENTO]]&lt;100%</f>
        <v>0</v>
      </c>
      <c r="AH201" s="12">
        <f>((( (Tabla9[[#This Row],[FTP_CIERRE_MES]]/100)+1)^(30/360) -1)*(36000/30))/36000</f>
        <v>1.2239493171416853E-4</v>
      </c>
      <c r="AI201" s="3">
        <f>Tabla9[[#This Row],[FTP_DIARIO]]*Tabla9[[#This Row],[SALDO_PROM_CORREGIDO]]*Tabla9[[#This Row],[DIAS]]</f>
        <v>400232.90481249738</v>
      </c>
      <c r="AJ201" s="3">
        <f>Tabla9[[#This Row],[REAL_FTP_MONTO]]-Tabla9[[#This Row],[INT_REAL]]</f>
        <v>220219.78481249738</v>
      </c>
      <c r="AK201" s="3">
        <f>Tabla9[[#This Row],[FTP_DIARIO]]*Tabla9[[#This Row],[COMPROMISO]]*Tabla9[[#This Row],[DIAS]]</f>
        <v>73436.959028501122</v>
      </c>
      <c r="AL201" s="13">
        <f>((( (Tabla9[[#This Row],[TASA_INT]])+1)^(30/360) -1)*(36000/30))/36000</f>
        <v>5.5052710064007471E-5</v>
      </c>
      <c r="AM201" s="3">
        <f>Tabla9[[#This Row],[TEA DIARIA]]*Tabla9[[#This Row],[SALDO_PROM_CORREGIDO]]*Tabla9[[#This Row],[DIAS]]</f>
        <v>180023.02675550457</v>
      </c>
      <c r="AN201" s="3">
        <f>Tabla9[[#This Row],[TEA DIARIA]]*Tabla9[[#This Row],[COMPROMISO]]*Tabla9[[#This Row],[DIAS]]</f>
        <v>33031.62603840448</v>
      </c>
      <c r="AO201" s="14">
        <f>+Tabla9[[#This Row],[PROYECTADO_FTP_MONTO]]-Tabla9[[#This Row],[PROYECCION_INTERES]]</f>
        <v>40405.332990096642</v>
      </c>
      <c r="AP201" s="3">
        <f>Tabla9[[#This Row],[PROYECCION_MARGEN(FTP - Int compromiso)]]-Tabla9[[#This Row],[REAL_MARGEN(FTP - Int)]]</f>
        <v>-179814.45182240073</v>
      </c>
    </row>
    <row r="202" spans="1:42" x14ac:dyDescent="0.35">
      <c r="A202">
        <v>202604</v>
      </c>
      <c r="B202" s="7">
        <v>46142</v>
      </c>
      <c r="C202">
        <v>13878207</v>
      </c>
      <c r="D202" t="s">
        <v>36</v>
      </c>
      <c r="E202" t="s">
        <v>37</v>
      </c>
      <c r="F202" t="s">
        <v>177</v>
      </c>
      <c r="G202" t="s">
        <v>37</v>
      </c>
      <c r="H202" t="s">
        <v>491</v>
      </c>
      <c r="I202" t="s">
        <v>244</v>
      </c>
      <c r="J202" t="str">
        <f t="shared" ref="J202" si="202">IF(I202="SOLES","4.4963","3.388")</f>
        <v>3.388</v>
      </c>
      <c r="K202" t="s">
        <v>32</v>
      </c>
      <c r="L202" t="s">
        <v>33</v>
      </c>
      <c r="M202" t="s">
        <v>34</v>
      </c>
      <c r="N202" t="s">
        <v>422</v>
      </c>
      <c r="O202" t="s">
        <v>44</v>
      </c>
      <c r="P202" s="3">
        <v>19749303.711599998</v>
      </c>
      <c r="Q202" s="3">
        <v>19380506.929099999</v>
      </c>
      <c r="R202" s="4">
        <v>3.39E-2</v>
      </c>
      <c r="S202" s="3">
        <f>+Tabla9[[#This Row],[SAL_PROM_SOL]]</f>
        <v>19749303.711599998</v>
      </c>
      <c r="T202" s="4">
        <v>1.8499999999999999E-2</v>
      </c>
      <c r="U202" s="4">
        <v>1.54E-2</v>
      </c>
      <c r="V202" s="3">
        <v>54911.305200000003</v>
      </c>
      <c r="W202" s="3">
        <v>30190.358700000001</v>
      </c>
      <c r="X202" s="3">
        <v>24720.946499999998</v>
      </c>
      <c r="Y202" s="3">
        <v>27.888300000000001</v>
      </c>
      <c r="Z202" s="3">
        <v>24693.058199999999</v>
      </c>
      <c r="AA202">
        <v>30</v>
      </c>
      <c r="AB202" t="b">
        <f t="shared" si="191"/>
        <v>1</v>
      </c>
      <c r="AC202" s="3">
        <v>1500000</v>
      </c>
      <c r="AD202" t="s">
        <v>46</v>
      </c>
      <c r="AE202" s="8">
        <v>46155.560022106481</v>
      </c>
      <c r="AF202" s="6">
        <f t="shared" ref="AF202" si="203">S202/AC202</f>
        <v>13.166202474399999</v>
      </c>
      <c r="AG202" s="6" t="b">
        <f>+Tabla9[[#This Row],[CUMPLIMIENTO]]&lt;100%</f>
        <v>0</v>
      </c>
      <c r="AH202" s="12">
        <f>((( (Tabla9[[#This Row],[FTP_CIERRE_MES]]/100)+1)^(30/360) -1)*(36000/30))/36000</f>
        <v>9.2680593701059222E-5</v>
      </c>
      <c r="AI202" s="3">
        <f>Tabla9[[#This Row],[FTP_DIARIO]]*Tabla9[[#This Row],[SALDO_PROM_CORREGIDO]]*Tabla9[[#This Row],[DIAS]]</f>
        <v>54911.315795208611</v>
      </c>
      <c r="AJ202" s="3">
        <f>Tabla9[[#This Row],[REAL_FTP_MONTO]]-Tabla9[[#This Row],[INT_REAL]]</f>
        <v>24720.957095208611</v>
      </c>
      <c r="AK202" s="3">
        <f>Tabla9[[#This Row],[FTP_DIARIO]]*Tabla9[[#This Row],[COMPROMISO]]*Tabla9[[#This Row],[DIAS]]</f>
        <v>4170.6267165476647</v>
      </c>
      <c r="AL202" s="13">
        <f>((( (Tabla9[[#This Row],[TASA_INT]])+1)^(30/360) -1)*(36000/30))/36000</f>
        <v>5.0958235598708154E-5</v>
      </c>
      <c r="AM202" s="3">
        <f>Tabla9[[#This Row],[TEA DIARIA]]*Tabla9[[#This Row],[SALDO_PROM_CORREGIDO]]*Tabla9[[#This Row],[DIAS]]</f>
        <v>30191.690143384625</v>
      </c>
      <c r="AN202" s="3">
        <f>Tabla9[[#This Row],[TEA DIARIA]]*Tabla9[[#This Row],[COMPROMISO]]*Tabla9[[#This Row],[DIAS]]</f>
        <v>2293.1206019418669</v>
      </c>
      <c r="AO202" s="14">
        <f>+Tabla9[[#This Row],[PROYECTADO_FTP_MONTO]]-Tabla9[[#This Row],[PROYECCION_INTERES]]</f>
        <v>1877.5061146057978</v>
      </c>
      <c r="AP202" s="3">
        <f>Tabla9[[#This Row],[PROYECCION_MARGEN(FTP - Int compromiso)]]-Tabla9[[#This Row],[REAL_MARGEN(FTP - Int)]]</f>
        <v>-22843.450980602815</v>
      </c>
    </row>
    <row r="203" spans="1:42" x14ac:dyDescent="0.35">
      <c r="A203">
        <v>202604</v>
      </c>
      <c r="B203" s="7">
        <v>46142</v>
      </c>
      <c r="C203">
        <v>13999846</v>
      </c>
      <c r="D203" t="s">
        <v>29</v>
      </c>
      <c r="E203" t="s">
        <v>30</v>
      </c>
      <c r="F203" t="s">
        <v>178</v>
      </c>
      <c r="G203" t="s">
        <v>30</v>
      </c>
      <c r="H203" t="s">
        <v>512</v>
      </c>
      <c r="I203" t="s">
        <v>244</v>
      </c>
      <c r="J203" t="str">
        <f t="shared" ref="J203" si="204">IF(I203="SOLES","4.4963","3.388")</f>
        <v>3.388</v>
      </c>
      <c r="K203" t="s">
        <v>32</v>
      </c>
      <c r="L203" t="s">
        <v>33</v>
      </c>
      <c r="M203" t="s">
        <v>34</v>
      </c>
      <c r="N203" t="s">
        <v>423</v>
      </c>
      <c r="O203" t="s">
        <v>44</v>
      </c>
      <c r="P203" s="3">
        <v>47147961.357199997</v>
      </c>
      <c r="Q203" s="3">
        <v>51616365.904200003</v>
      </c>
      <c r="R203" s="4">
        <v>3.39E-2</v>
      </c>
      <c r="S203" s="3">
        <f>+Tabla9[[#This Row],[SAL_PROM_SOL]]</f>
        <v>47147961.357199997</v>
      </c>
      <c r="T203" s="4">
        <v>1.8E-3</v>
      </c>
      <c r="U203" s="4">
        <v>3.2099999999999997E-2</v>
      </c>
      <c r="V203" s="3">
        <v>131091.01999999999</v>
      </c>
      <c r="W203" s="3">
        <v>7156.5164999999997</v>
      </c>
      <c r="X203" s="3">
        <v>123934.50350000001</v>
      </c>
      <c r="Y203" s="3">
        <v>0</v>
      </c>
      <c r="Z203" s="3">
        <v>123934.50350000001</v>
      </c>
      <c r="AA203">
        <v>30</v>
      </c>
      <c r="AB203" t="b">
        <f t="shared" si="191"/>
        <v>1</v>
      </c>
      <c r="AC203" s="3">
        <v>5000000</v>
      </c>
      <c r="AD203" t="s">
        <v>45</v>
      </c>
      <c r="AE203" s="8">
        <v>46155.560022106481</v>
      </c>
      <c r="AF203" s="6">
        <f t="shared" ref="AF203" si="205">S203/AC203</f>
        <v>9.4295922714399989</v>
      </c>
      <c r="AG203" s="6" t="b">
        <f>+Tabla9[[#This Row],[CUMPLIMIENTO]]&lt;100%</f>
        <v>0</v>
      </c>
      <c r="AH203" s="12">
        <f>((( (Tabla9[[#This Row],[FTP_CIERRE_MES]]/100)+1)^(30/360) -1)*(36000/30))/36000</f>
        <v>9.2680593701059222E-5</v>
      </c>
      <c r="AI203" s="3">
        <f>Tabla9[[#This Row],[FTP_DIARIO]]*Tabla9[[#This Row],[SALDO_PROM_CORREGIDO]]*Tabla9[[#This Row],[DIAS]]</f>
        <v>131091.03151139681</v>
      </c>
      <c r="AJ203" s="3">
        <f>Tabla9[[#This Row],[REAL_FTP_MONTO]]-Tabla9[[#This Row],[INT_REAL]]</f>
        <v>123934.51501139681</v>
      </c>
      <c r="AK203" s="3">
        <f>Tabla9[[#This Row],[FTP_DIARIO]]*Tabla9[[#This Row],[COMPROMISO]]*Tabla9[[#This Row],[DIAS]]</f>
        <v>13902.089055158882</v>
      </c>
      <c r="AL203" s="13">
        <f>((( (Tabla9[[#This Row],[TASA_INT]])+1)^(30/360) -1)*(36000/30))/36000</f>
        <v>4.9958797375312019E-6</v>
      </c>
      <c r="AM203" s="3">
        <f>Tabla9[[#This Row],[TEA DIARIA]]*Tabla9[[#This Row],[SALDO_PROM_CORREGIDO]]*Tabla9[[#This Row],[DIAS]]</f>
        <v>7066.3663443101877</v>
      </c>
      <c r="AN203" s="3">
        <f>Tabla9[[#This Row],[TEA DIARIA]]*Tabla9[[#This Row],[COMPROMISO]]*Tabla9[[#This Row],[DIAS]]</f>
        <v>749.38196062968029</v>
      </c>
      <c r="AO203" s="14">
        <f>+Tabla9[[#This Row],[PROYECTADO_FTP_MONTO]]-Tabla9[[#This Row],[PROYECCION_INTERES]]</f>
        <v>13152.707094529202</v>
      </c>
      <c r="AP203" s="3">
        <f>Tabla9[[#This Row],[PROYECCION_MARGEN(FTP - Int compromiso)]]-Tabla9[[#This Row],[REAL_MARGEN(FTP - Int)]]</f>
        <v>-110781.8079168676</v>
      </c>
    </row>
    <row r="204" spans="1:42" x14ac:dyDescent="0.35">
      <c r="A204">
        <v>202604</v>
      </c>
      <c r="B204" s="7">
        <v>46142</v>
      </c>
      <c r="C204">
        <v>14094135</v>
      </c>
      <c r="D204" t="s">
        <v>36</v>
      </c>
      <c r="E204" t="s">
        <v>37</v>
      </c>
      <c r="F204" t="s">
        <v>179</v>
      </c>
      <c r="G204" t="s">
        <v>37</v>
      </c>
      <c r="H204" t="s">
        <v>498</v>
      </c>
      <c r="I204" t="s">
        <v>243</v>
      </c>
      <c r="J204" t="str">
        <f t="shared" ref="J204:J207" si="206">IF(I204="SOLES","4.4963","3.388")</f>
        <v>4.4963</v>
      </c>
      <c r="K204" t="s">
        <v>32</v>
      </c>
      <c r="L204" t="s">
        <v>33</v>
      </c>
      <c r="M204" t="s">
        <v>31</v>
      </c>
      <c r="N204" t="s">
        <v>424</v>
      </c>
      <c r="O204" t="s">
        <v>44</v>
      </c>
      <c r="P204" s="3">
        <v>7274116.4683999997</v>
      </c>
      <c r="Q204" s="3">
        <v>7057855.3600000003</v>
      </c>
      <c r="R204" s="4">
        <v>4.4999999999999998E-2</v>
      </c>
      <c r="S204" s="3">
        <f>+Tabla9[[#This Row],[SAL_PROM_SOL]]</f>
        <v>7274116.4683999997</v>
      </c>
      <c r="T204" s="4">
        <v>1.06E-2</v>
      </c>
      <c r="U204" s="4">
        <v>3.44E-2</v>
      </c>
      <c r="V204" s="3">
        <v>26709.4512</v>
      </c>
      <c r="W204" s="3">
        <v>6405.9012000000002</v>
      </c>
      <c r="X204" s="3">
        <v>20303.55</v>
      </c>
      <c r="Y204" s="3">
        <v>43.9499</v>
      </c>
      <c r="Z204" s="3">
        <v>20259.6001</v>
      </c>
      <c r="AA204">
        <v>30</v>
      </c>
      <c r="AB204" t="b">
        <f t="shared" si="191"/>
        <v>1</v>
      </c>
      <c r="AC204" s="3">
        <v>15000000</v>
      </c>
      <c r="AD204" t="s">
        <v>46</v>
      </c>
      <c r="AE204" s="8">
        <v>46155.560022106481</v>
      </c>
      <c r="AF204" s="6">
        <f t="shared" ref="AF204" si="207">S204/AC204</f>
        <v>0.48494109789333328</v>
      </c>
      <c r="AG204" s="6" t="b">
        <f>+Tabla9[[#This Row],[CUMPLIMIENTO]]&lt;100%</f>
        <v>1</v>
      </c>
      <c r="AH204" s="12">
        <f>((( (Tabla9[[#This Row],[FTP_CIERRE_MES]]/100)+1)^(30/360) -1)*(36000/30))/36000</f>
        <v>1.2239493171416853E-4</v>
      </c>
      <c r="AI204" s="3">
        <f>Tabla9[[#This Row],[FTP_DIARIO]]*Tabla9[[#This Row],[SALDO_PROM_CORREGIDO]]*Tabla9[[#This Row],[DIAS]]</f>
        <v>26709.449652921801</v>
      </c>
      <c r="AJ204" s="3">
        <f>Tabla9[[#This Row],[REAL_FTP_MONTO]]-Tabla9[[#This Row],[INT_REAL]]</f>
        <v>20303.548452921801</v>
      </c>
      <c r="AK204" s="3">
        <f>Tabla9[[#This Row],[FTP_DIARIO]]*Tabla9[[#This Row],[COMPROMISO]]*Tabla9[[#This Row],[DIAS]]</f>
        <v>55077.719271375834</v>
      </c>
      <c r="AL204" s="13">
        <f>((( (Tabla9[[#This Row],[TASA_INT]])+1)^(30/360) -1)*(36000/30))/36000</f>
        <v>2.9302354865009168E-5</v>
      </c>
      <c r="AM204" s="3">
        <f>Tabla9[[#This Row],[TEA DIARIA]]*Tabla9[[#This Row],[SALDO_PROM_CORREGIDO]]*Tabla9[[#This Row],[DIAS]]</f>
        <v>6394.462262593921</v>
      </c>
      <c r="AN204" s="3">
        <f>Tabla9[[#This Row],[TEA DIARIA]]*Tabla9[[#This Row],[COMPROMISO]]*Tabla9[[#This Row],[DIAS]]</f>
        <v>13186.059689254127</v>
      </c>
      <c r="AO204" s="14">
        <f>+Tabla9[[#This Row],[PROYECTADO_FTP_MONTO]]-Tabla9[[#This Row],[PROYECCION_INTERES]]</f>
        <v>41891.659582121705</v>
      </c>
      <c r="AP204" s="3">
        <f>Tabla9[[#This Row],[PROYECCION_MARGEN(FTP - Int compromiso)]]-Tabla9[[#This Row],[REAL_MARGEN(FTP - Int)]]</f>
        <v>21588.111129199904</v>
      </c>
    </row>
    <row r="205" spans="1:42" x14ac:dyDescent="0.35">
      <c r="A205">
        <v>202604</v>
      </c>
      <c r="B205" s="7">
        <v>46142</v>
      </c>
      <c r="C205">
        <v>14099234</v>
      </c>
      <c r="D205" t="s">
        <v>36</v>
      </c>
      <c r="E205" t="s">
        <v>37</v>
      </c>
      <c r="F205" t="s">
        <v>180</v>
      </c>
      <c r="G205" t="s">
        <v>37</v>
      </c>
      <c r="H205" t="s">
        <v>491</v>
      </c>
      <c r="I205" t="s">
        <v>244</v>
      </c>
      <c r="J205" t="str">
        <f t="shared" si="206"/>
        <v>3.388</v>
      </c>
      <c r="K205" t="s">
        <v>32</v>
      </c>
      <c r="L205" t="s">
        <v>33</v>
      </c>
      <c r="M205" t="s">
        <v>34</v>
      </c>
      <c r="N205" t="s">
        <v>425</v>
      </c>
      <c r="O205" t="s">
        <v>44</v>
      </c>
      <c r="P205" s="3">
        <v>14744.888499999999</v>
      </c>
      <c r="Q205" s="3">
        <v>56086.5838</v>
      </c>
      <c r="R205" s="4">
        <v>3.39E-2</v>
      </c>
      <c r="S205" s="3">
        <f>+Tabla9[[#This Row],[SAL_PROM_SOL]]</f>
        <v>14744.888499999999</v>
      </c>
      <c r="T205" s="4">
        <v>0</v>
      </c>
      <c r="U205" s="4">
        <v>3.39E-2</v>
      </c>
      <c r="V205" s="3">
        <v>41.006100000000004</v>
      </c>
      <c r="W205" s="3">
        <v>0</v>
      </c>
      <c r="X205" s="3">
        <v>41.006100000000004</v>
      </c>
      <c r="Y205" s="3">
        <v>20.589099999999998</v>
      </c>
      <c r="Z205" s="3">
        <v>20.417000000000002</v>
      </c>
      <c r="AA205">
        <v>30</v>
      </c>
      <c r="AB205" t="b">
        <f t="shared" si="191"/>
        <v>1</v>
      </c>
      <c r="AC205" s="3">
        <v>296000</v>
      </c>
      <c r="AD205" t="s">
        <v>45</v>
      </c>
      <c r="AE205" s="8">
        <v>46155.560022106481</v>
      </c>
      <c r="AF205" s="6">
        <f t="shared" ref="AF205:AF208" si="208">S205/AC205</f>
        <v>4.9813812499999999E-2</v>
      </c>
      <c r="AG205" s="6" t="b">
        <f>+Tabla9[[#This Row],[CUMPLIMIENTO]]&lt;100%</f>
        <v>1</v>
      </c>
      <c r="AH205" s="12">
        <f>((( (Tabla9[[#This Row],[FTP_CIERRE_MES]]/100)+1)^(30/360) -1)*(36000/30))/36000</f>
        <v>9.2680593701059222E-5</v>
      </c>
      <c r="AI205" s="3">
        <f>Tabla9[[#This Row],[FTP_DIARIO]]*Tabla9[[#This Row],[SALDO_PROM_CORREGIDO]]*Tabla9[[#This Row],[DIAS]]</f>
        <v>40.996950607077615</v>
      </c>
      <c r="AJ205" s="3">
        <f>Tabla9[[#This Row],[REAL_FTP_MONTO]]-Tabla9[[#This Row],[INT_REAL]]</f>
        <v>40.996950607077615</v>
      </c>
      <c r="AK205" s="3">
        <f>Tabla9[[#This Row],[FTP_DIARIO]]*Tabla9[[#This Row],[COMPROMISO]]*Tabla9[[#This Row],[DIAS]]</f>
        <v>823.00367206540591</v>
      </c>
      <c r="AL205" s="13">
        <f>((( (Tabla9[[#This Row],[TASA_INT]])+1)^(30/360) -1)*(36000/30))/36000</f>
        <v>0</v>
      </c>
      <c r="AM205" s="3">
        <f>Tabla9[[#This Row],[TEA DIARIA]]*Tabla9[[#This Row],[SALDO_PROM_CORREGIDO]]*Tabla9[[#This Row],[DIAS]]</f>
        <v>0</v>
      </c>
      <c r="AN205" s="3">
        <f>Tabla9[[#This Row],[TEA DIARIA]]*Tabla9[[#This Row],[COMPROMISO]]*Tabla9[[#This Row],[DIAS]]</f>
        <v>0</v>
      </c>
      <c r="AO205" s="14">
        <f>+Tabla9[[#This Row],[PROYECTADO_FTP_MONTO]]-Tabla9[[#This Row],[PROYECCION_INTERES]]</f>
        <v>823.00367206540591</v>
      </c>
      <c r="AP205" s="3">
        <f>Tabla9[[#This Row],[PROYECCION_MARGEN(FTP - Int compromiso)]]-Tabla9[[#This Row],[REAL_MARGEN(FTP - Int)]]</f>
        <v>782.00672145832834</v>
      </c>
    </row>
    <row r="206" spans="1:42" x14ac:dyDescent="0.35">
      <c r="A206">
        <v>202604</v>
      </c>
      <c r="B206" s="7">
        <v>46142</v>
      </c>
      <c r="C206">
        <v>14099234</v>
      </c>
      <c r="D206" t="s">
        <v>36</v>
      </c>
      <c r="E206" t="s">
        <v>37</v>
      </c>
      <c r="F206" t="s">
        <v>180</v>
      </c>
      <c r="G206" t="s">
        <v>37</v>
      </c>
      <c r="H206" t="s">
        <v>491</v>
      </c>
      <c r="I206" t="s">
        <v>243</v>
      </c>
      <c r="J206" t="str">
        <f t="shared" si="206"/>
        <v>4.4963</v>
      </c>
      <c r="K206" t="s">
        <v>32</v>
      </c>
      <c r="L206" t="s">
        <v>33</v>
      </c>
      <c r="M206" t="s">
        <v>31</v>
      </c>
      <c r="N206" t="s">
        <v>426</v>
      </c>
      <c r="O206" t="s">
        <v>44</v>
      </c>
      <c r="P206" s="3">
        <v>127225.40889999999</v>
      </c>
      <c r="Q206" s="3">
        <v>37633.11</v>
      </c>
      <c r="R206" s="4">
        <v>4.4999999999999998E-2</v>
      </c>
      <c r="S206" s="3">
        <f>+Tabla9[[#This Row],[SAL_PROM_SOL]]</f>
        <v>127225.40889999999</v>
      </c>
      <c r="T206" s="4">
        <v>6.1999999999999998E-3</v>
      </c>
      <c r="U206" s="4">
        <v>3.8800000000000001E-2</v>
      </c>
      <c r="V206" s="3">
        <v>467.1497</v>
      </c>
      <c r="W206" s="3">
        <v>65.940299999999993</v>
      </c>
      <c r="X206" s="3">
        <v>401.20940000000002</v>
      </c>
      <c r="Y206" s="3">
        <v>14.1404</v>
      </c>
      <c r="Z206" s="3">
        <v>387.06900000000002</v>
      </c>
      <c r="AA206">
        <v>30</v>
      </c>
      <c r="AB206" t="b">
        <f t="shared" si="191"/>
        <v>1</v>
      </c>
      <c r="AC206" s="3">
        <v>1000000</v>
      </c>
      <c r="AD206" t="s">
        <v>45</v>
      </c>
      <c r="AE206" s="8">
        <v>46155.560022106481</v>
      </c>
      <c r="AF206" s="6">
        <f t="shared" si="208"/>
        <v>0.1272254089</v>
      </c>
      <c r="AG206" s="6" t="b">
        <f>+Tabla9[[#This Row],[CUMPLIMIENTO]]&lt;100%</f>
        <v>1</v>
      </c>
      <c r="AH206" s="12">
        <f>((( (Tabla9[[#This Row],[FTP_CIERRE_MES]]/100)+1)^(30/360) -1)*(36000/30))/36000</f>
        <v>1.2239493171416853E-4</v>
      </c>
      <c r="AI206" s="3">
        <f>Tabla9[[#This Row],[FTP_DIARIO]]*Tabla9[[#This Row],[SALDO_PROM_CORREGIDO]]*Tabla9[[#This Row],[DIAS]]</f>
        <v>467.15235703868007</v>
      </c>
      <c r="AJ206" s="3">
        <f>Tabla9[[#This Row],[REAL_FTP_MONTO]]-Tabla9[[#This Row],[INT_REAL]]</f>
        <v>401.21205703868009</v>
      </c>
      <c r="AK206" s="3">
        <f>Tabla9[[#This Row],[FTP_DIARIO]]*Tabla9[[#This Row],[COMPROMISO]]*Tabla9[[#This Row],[DIAS]]</f>
        <v>3671.8479514250557</v>
      </c>
      <c r="AL206" s="13">
        <f>((( (Tabla9[[#This Row],[TASA_INT]])+1)^(30/360) -1)*(36000/30))/36000</f>
        <v>1.7173475391296654E-5</v>
      </c>
      <c r="AM206" s="3">
        <f>Tabla9[[#This Row],[TEA DIARIA]]*Tabla9[[#This Row],[SALDO_PROM_CORREGIDO]]*Tabla9[[#This Row],[DIAS]]</f>
        <v>65.547072866754135</v>
      </c>
      <c r="AN206" s="3">
        <f>Tabla9[[#This Row],[TEA DIARIA]]*Tabla9[[#This Row],[COMPROMISO]]*Tabla9[[#This Row],[DIAS]]</f>
        <v>515.20426173889962</v>
      </c>
      <c r="AO206" s="14">
        <f>+Tabla9[[#This Row],[PROYECTADO_FTP_MONTO]]-Tabla9[[#This Row],[PROYECCION_INTERES]]</f>
        <v>3156.643689686156</v>
      </c>
      <c r="AP206" s="3">
        <f>Tabla9[[#This Row],[PROYECCION_MARGEN(FTP - Int compromiso)]]-Tabla9[[#This Row],[REAL_MARGEN(FTP - Int)]]</f>
        <v>2755.4316326474759</v>
      </c>
    </row>
    <row r="207" spans="1:42" x14ac:dyDescent="0.35">
      <c r="A207">
        <v>202604</v>
      </c>
      <c r="B207" s="7">
        <v>46142</v>
      </c>
      <c r="C207">
        <v>14099240</v>
      </c>
      <c r="D207" t="s">
        <v>36</v>
      </c>
      <c r="E207" t="s">
        <v>37</v>
      </c>
      <c r="F207" t="s">
        <v>181</v>
      </c>
      <c r="G207" t="s">
        <v>37</v>
      </c>
      <c r="H207" t="s">
        <v>491</v>
      </c>
      <c r="I207" t="s">
        <v>243</v>
      </c>
      <c r="J207" t="str">
        <f t="shared" si="206"/>
        <v>4.4963</v>
      </c>
      <c r="K207" t="s">
        <v>32</v>
      </c>
      <c r="L207" t="s">
        <v>33</v>
      </c>
      <c r="M207" t="s">
        <v>31</v>
      </c>
      <c r="N207" t="s">
        <v>272</v>
      </c>
      <c r="O207" t="s">
        <v>44</v>
      </c>
      <c r="P207" s="3">
        <v>8340.1785999999993</v>
      </c>
      <c r="Q207" s="3">
        <v>1919.08</v>
      </c>
      <c r="R207" s="4">
        <v>4.4999999999999998E-2</v>
      </c>
      <c r="S207" s="3">
        <f>+Tabla9[[#This Row],[SAL_PROM_SOL]]</f>
        <v>8340.1785999999993</v>
      </c>
      <c r="T207" s="4">
        <v>0</v>
      </c>
      <c r="U207" s="4">
        <v>4.4999999999999998E-2</v>
      </c>
      <c r="V207" s="3">
        <v>30.618600000000001</v>
      </c>
      <c r="W207" s="3">
        <v>0</v>
      </c>
      <c r="X207" s="3">
        <v>30.618600000000001</v>
      </c>
      <c r="Y207" s="3">
        <v>0.71960000000000002</v>
      </c>
      <c r="Z207" s="3">
        <v>29.899000000000001</v>
      </c>
      <c r="AA207">
        <v>30</v>
      </c>
      <c r="AB207" t="b">
        <f t="shared" si="191"/>
        <v>1</v>
      </c>
      <c r="AC207" s="3">
        <v>1000000</v>
      </c>
      <c r="AD207" t="s">
        <v>45</v>
      </c>
      <c r="AE207" s="8">
        <v>46155.560022106481</v>
      </c>
      <c r="AF207" s="6">
        <f t="shared" si="208"/>
        <v>8.3401785999999995E-3</v>
      </c>
      <c r="AG207" s="6" t="b">
        <f>+Tabla9[[#This Row],[CUMPLIMIENTO]]&lt;100%</f>
        <v>1</v>
      </c>
      <c r="AH207" s="12">
        <f>((( (Tabla9[[#This Row],[FTP_CIERRE_MES]]/100)+1)^(30/360) -1)*(36000/30))/36000</f>
        <v>1.2239493171416853E-4</v>
      </c>
      <c r="AI207" s="3">
        <f>Tabla9[[#This Row],[FTP_DIARIO]]*Tabla9[[#This Row],[SALDO_PROM_CORREGIDO]]*Tabla9[[#This Row],[DIAS]]</f>
        <v>30.623867706929087</v>
      </c>
      <c r="AJ207" s="3">
        <f>Tabla9[[#This Row],[REAL_FTP_MONTO]]-Tabla9[[#This Row],[INT_REAL]]</f>
        <v>30.623867706929087</v>
      </c>
      <c r="AK207" s="3">
        <f>Tabla9[[#This Row],[FTP_DIARIO]]*Tabla9[[#This Row],[COMPROMISO]]*Tabla9[[#This Row],[DIAS]]</f>
        <v>3671.8479514250557</v>
      </c>
      <c r="AL207" s="13">
        <f>((( (Tabla9[[#This Row],[TASA_INT]])+1)^(30/360) -1)*(36000/30))/36000</f>
        <v>0</v>
      </c>
      <c r="AM207" s="3">
        <f>Tabla9[[#This Row],[TEA DIARIA]]*Tabla9[[#This Row],[SALDO_PROM_CORREGIDO]]*Tabla9[[#This Row],[DIAS]]</f>
        <v>0</v>
      </c>
      <c r="AN207" s="3">
        <f>Tabla9[[#This Row],[TEA DIARIA]]*Tabla9[[#This Row],[COMPROMISO]]*Tabla9[[#This Row],[DIAS]]</f>
        <v>0</v>
      </c>
      <c r="AO207" s="14">
        <f>+Tabla9[[#This Row],[PROYECTADO_FTP_MONTO]]-Tabla9[[#This Row],[PROYECCION_INTERES]]</f>
        <v>3671.8479514250557</v>
      </c>
      <c r="AP207" s="3">
        <f>Tabla9[[#This Row],[PROYECCION_MARGEN(FTP - Int compromiso)]]-Tabla9[[#This Row],[REAL_MARGEN(FTP - Int)]]</f>
        <v>3641.2240837181266</v>
      </c>
    </row>
    <row r="208" spans="1:42" x14ac:dyDescent="0.35">
      <c r="A208">
        <v>202604</v>
      </c>
      <c r="B208" s="7">
        <v>46142</v>
      </c>
      <c r="C208">
        <v>14099240</v>
      </c>
      <c r="D208" t="s">
        <v>36</v>
      </c>
      <c r="E208" t="s">
        <v>37</v>
      </c>
      <c r="F208" t="s">
        <v>181</v>
      </c>
      <c r="G208" t="s">
        <v>37</v>
      </c>
      <c r="H208" t="s">
        <v>491</v>
      </c>
      <c r="I208" t="s">
        <v>244</v>
      </c>
      <c r="J208" t="str">
        <f t="shared" ref="J208" si="209">IF(I208="SOLES","4.4963","3.388")</f>
        <v>3.388</v>
      </c>
      <c r="K208" t="s">
        <v>32</v>
      </c>
      <c r="L208" t="s">
        <v>33</v>
      </c>
      <c r="M208" t="s">
        <v>34</v>
      </c>
      <c r="N208" t="s">
        <v>427</v>
      </c>
      <c r="O208" t="s">
        <v>44</v>
      </c>
      <c r="P208" s="3">
        <v>6688.8194000000003</v>
      </c>
      <c r="Q208" s="3">
        <v>6238.3491000000004</v>
      </c>
      <c r="R208" s="4">
        <v>3.39E-2</v>
      </c>
      <c r="S208" s="3">
        <f>+Tabla9[[#This Row],[SAL_PROM_SOL]]</f>
        <v>6688.8194000000003</v>
      </c>
      <c r="T208" s="4">
        <v>0</v>
      </c>
      <c r="U208" s="4">
        <v>3.39E-2</v>
      </c>
      <c r="V208" s="3">
        <v>18.592199999999998</v>
      </c>
      <c r="W208" s="3">
        <v>0</v>
      </c>
      <c r="X208" s="3">
        <v>18.592199999999998</v>
      </c>
      <c r="Y208" s="3">
        <v>2.3068</v>
      </c>
      <c r="Z208" s="3">
        <v>16.285399999999999</v>
      </c>
      <c r="AA208">
        <v>30</v>
      </c>
      <c r="AB208" t="b">
        <f t="shared" si="191"/>
        <v>1</v>
      </c>
      <c r="AC208" s="3">
        <v>296000</v>
      </c>
      <c r="AD208" t="s">
        <v>45</v>
      </c>
      <c r="AE208" s="8">
        <v>46155.560022106481</v>
      </c>
      <c r="AF208" s="6">
        <f t="shared" si="208"/>
        <v>2.259736283783784E-2</v>
      </c>
      <c r="AG208" s="6" t="b">
        <f>+Tabla9[[#This Row],[CUMPLIMIENTO]]&lt;100%</f>
        <v>1</v>
      </c>
      <c r="AH208" s="12">
        <f>((( (Tabla9[[#This Row],[FTP_CIERRE_MES]]/100)+1)^(30/360) -1)*(36000/30))/36000</f>
        <v>9.2680593701059222E-5</v>
      </c>
      <c r="AI208" s="3">
        <f>Tabla9[[#This Row],[FTP_DIARIO]]*Tabla9[[#This Row],[SALDO_PROM_CORREGIDO]]*Tabla9[[#This Row],[DIAS]]</f>
        <v>18.597712594534883</v>
      </c>
      <c r="AJ208" s="3">
        <f>Tabla9[[#This Row],[REAL_FTP_MONTO]]-Tabla9[[#This Row],[INT_REAL]]</f>
        <v>18.597712594534883</v>
      </c>
      <c r="AK208" s="3">
        <f>Tabla9[[#This Row],[FTP_DIARIO]]*Tabla9[[#This Row],[COMPROMISO]]*Tabla9[[#This Row],[DIAS]]</f>
        <v>823.00367206540591</v>
      </c>
      <c r="AL208" s="13">
        <f>((( (Tabla9[[#This Row],[TASA_INT]])+1)^(30/360) -1)*(36000/30))/36000</f>
        <v>0</v>
      </c>
      <c r="AM208" s="3">
        <f>Tabla9[[#This Row],[TEA DIARIA]]*Tabla9[[#This Row],[SALDO_PROM_CORREGIDO]]*Tabla9[[#This Row],[DIAS]]</f>
        <v>0</v>
      </c>
      <c r="AN208" s="3">
        <f>Tabla9[[#This Row],[TEA DIARIA]]*Tabla9[[#This Row],[COMPROMISO]]*Tabla9[[#This Row],[DIAS]]</f>
        <v>0</v>
      </c>
      <c r="AO208" s="14">
        <f>+Tabla9[[#This Row],[PROYECTADO_FTP_MONTO]]-Tabla9[[#This Row],[PROYECCION_INTERES]]</f>
        <v>823.00367206540591</v>
      </c>
      <c r="AP208" s="3">
        <f>Tabla9[[#This Row],[PROYECCION_MARGEN(FTP - Int compromiso)]]-Tabla9[[#This Row],[REAL_MARGEN(FTP - Int)]]</f>
        <v>804.40595947087104</v>
      </c>
    </row>
    <row r="209" spans="1:42" x14ac:dyDescent="0.35">
      <c r="A209">
        <v>202604</v>
      </c>
      <c r="B209" s="7">
        <v>46142</v>
      </c>
      <c r="C209">
        <v>14166394</v>
      </c>
      <c r="D209" t="s">
        <v>29</v>
      </c>
      <c r="E209" t="s">
        <v>40</v>
      </c>
      <c r="F209" t="s">
        <v>182</v>
      </c>
      <c r="G209" t="s">
        <v>40</v>
      </c>
      <c r="H209" t="s">
        <v>509</v>
      </c>
      <c r="I209" t="s">
        <v>243</v>
      </c>
      <c r="J209" t="str">
        <f t="shared" ref="J209" si="210">IF(I209="SOLES","4.4963","3.388")</f>
        <v>4.4963</v>
      </c>
      <c r="K209" t="s">
        <v>32</v>
      </c>
      <c r="L209" t="s">
        <v>33</v>
      </c>
      <c r="M209" t="s">
        <v>31</v>
      </c>
      <c r="N209" t="s">
        <v>428</v>
      </c>
      <c r="O209" t="s">
        <v>44</v>
      </c>
      <c r="P209" s="3">
        <v>1185126.1406</v>
      </c>
      <c r="Q209" s="3">
        <v>729959.69</v>
      </c>
      <c r="R209" s="4">
        <v>4.4999999999999998E-2</v>
      </c>
      <c r="S209" s="3">
        <f>+Tabla9[[#This Row],[SAL_PROM_SOL]]</f>
        <v>1185126.1406</v>
      </c>
      <c r="T209" s="4">
        <v>2.4199999999999999E-2</v>
      </c>
      <c r="U209" s="4">
        <v>2.0799999999999999E-2</v>
      </c>
      <c r="V209" s="3">
        <v>4351.6008000000002</v>
      </c>
      <c r="W209" s="3">
        <v>2363.3303000000001</v>
      </c>
      <c r="X209" s="3">
        <v>1988.2705000000001</v>
      </c>
      <c r="Y209" s="3">
        <v>43.9499</v>
      </c>
      <c r="Z209" s="3">
        <v>1944.3206</v>
      </c>
      <c r="AA209">
        <v>30</v>
      </c>
      <c r="AB209" t="b">
        <f t="shared" si="191"/>
        <v>1</v>
      </c>
      <c r="AC209" s="3">
        <v>1000000</v>
      </c>
      <c r="AD209" t="s">
        <v>46</v>
      </c>
      <c r="AE209" s="8">
        <v>46155.560022106481</v>
      </c>
      <c r="AF209" s="6">
        <f t="shared" ref="AF209" si="211">S209/AC209</f>
        <v>1.1851261406</v>
      </c>
      <c r="AG209" s="6" t="b">
        <f>+Tabla9[[#This Row],[CUMPLIMIENTO]]&lt;100%</f>
        <v>0</v>
      </c>
      <c r="AH209" s="12">
        <f>((( (Tabla9[[#This Row],[FTP_CIERRE_MES]]/100)+1)^(30/360) -1)*(36000/30))/36000</f>
        <v>1.2239493171416853E-4</v>
      </c>
      <c r="AI209" s="3">
        <f>Tabla9[[#This Row],[FTP_DIARIO]]*Tabla9[[#This Row],[SALDO_PROM_CORREGIDO]]*Tabla9[[#This Row],[DIAS]]</f>
        <v>4351.6029915423933</v>
      </c>
      <c r="AJ209" s="3">
        <f>Tabla9[[#This Row],[REAL_FTP_MONTO]]-Tabla9[[#This Row],[INT_REAL]]</f>
        <v>1988.2726915423932</v>
      </c>
      <c r="AK209" s="3">
        <f>Tabla9[[#This Row],[FTP_DIARIO]]*Tabla9[[#This Row],[COMPROMISO]]*Tabla9[[#This Row],[DIAS]]</f>
        <v>3671.8479514250557</v>
      </c>
      <c r="AL209" s="13">
        <f>((( (Tabla9[[#This Row],[TASA_INT]])+1)^(30/360) -1)*(36000/30))/36000</f>
        <v>6.6487944007128288E-5</v>
      </c>
      <c r="AM209" s="3">
        <f>Tabla9[[#This Row],[TEA DIARIA]]*Tabla9[[#This Row],[SALDO_PROM_CORREGIDO]]*Tabla9[[#This Row],[DIAS]]</f>
        <v>2363.8980143279055</v>
      </c>
      <c r="AN209" s="3">
        <f>Tabla9[[#This Row],[TEA DIARIA]]*Tabla9[[#This Row],[COMPROMISO]]*Tabla9[[#This Row],[DIAS]]</f>
        <v>1994.6383202138488</v>
      </c>
      <c r="AO209" s="14">
        <f>+Tabla9[[#This Row],[PROYECTADO_FTP_MONTO]]-Tabla9[[#This Row],[PROYECCION_INTERES]]</f>
        <v>1677.2096312112069</v>
      </c>
      <c r="AP209" s="3">
        <f>Tabla9[[#This Row],[PROYECCION_MARGEN(FTP - Int compromiso)]]-Tabla9[[#This Row],[REAL_MARGEN(FTP - Int)]]</f>
        <v>-311.06306033118631</v>
      </c>
    </row>
    <row r="210" spans="1:42" x14ac:dyDescent="0.35">
      <c r="A210">
        <v>202604</v>
      </c>
      <c r="B210" s="7">
        <v>46142</v>
      </c>
      <c r="C210">
        <v>14202529</v>
      </c>
      <c r="D210" t="s">
        <v>29</v>
      </c>
      <c r="E210" t="s">
        <v>30</v>
      </c>
      <c r="F210" t="s">
        <v>183</v>
      </c>
      <c r="G210" t="s">
        <v>30</v>
      </c>
      <c r="H210" t="s">
        <v>523</v>
      </c>
      <c r="I210" t="s">
        <v>243</v>
      </c>
      <c r="J210" t="str">
        <f t="shared" ref="J210" si="212">IF(I210="SOLES","4.4963","3.388")</f>
        <v>4.4963</v>
      </c>
      <c r="K210" t="s">
        <v>32</v>
      </c>
      <c r="L210" t="s">
        <v>33</v>
      </c>
      <c r="M210" t="s">
        <v>31</v>
      </c>
      <c r="N210" t="s">
        <v>348</v>
      </c>
      <c r="O210" t="s">
        <v>44</v>
      </c>
      <c r="P210" s="3">
        <v>769131.99040000001</v>
      </c>
      <c r="Q210" s="3">
        <v>580355.11</v>
      </c>
      <c r="R210" s="4">
        <v>4.4999999999999998E-2</v>
      </c>
      <c r="S210" s="3">
        <f>+Tabla9[[#This Row],[SAL_PROM_SOL]]</f>
        <v>769131.99040000001</v>
      </c>
      <c r="T210" s="4">
        <v>2.4899999999999999E-2</v>
      </c>
      <c r="U210" s="4">
        <v>2.01E-2</v>
      </c>
      <c r="V210" s="3">
        <v>2824.1414</v>
      </c>
      <c r="W210" s="3">
        <v>1579.3592000000001</v>
      </c>
      <c r="X210" s="3">
        <v>1244.7822000000001</v>
      </c>
      <c r="Y210" s="3">
        <v>43.9499</v>
      </c>
      <c r="Z210" s="3">
        <v>1200.8323</v>
      </c>
      <c r="AA210">
        <v>30</v>
      </c>
      <c r="AB210" t="b">
        <f t="shared" si="191"/>
        <v>1</v>
      </c>
      <c r="AC210" s="3">
        <v>1500000</v>
      </c>
      <c r="AD210" t="s">
        <v>46</v>
      </c>
      <c r="AE210" s="8">
        <v>46155.560022106481</v>
      </c>
      <c r="AF210" s="6">
        <f t="shared" ref="AF210" si="213">S210/AC210</f>
        <v>0.51275466026666672</v>
      </c>
      <c r="AG210" s="6" t="b">
        <f>+Tabla9[[#This Row],[CUMPLIMIENTO]]&lt;100%</f>
        <v>1</v>
      </c>
      <c r="AH210" s="12">
        <f>((( (Tabla9[[#This Row],[FTP_CIERRE_MES]]/100)+1)^(30/360) -1)*(36000/30))/36000</f>
        <v>1.2239493171416853E-4</v>
      </c>
      <c r="AI210" s="3">
        <f>Tabla9[[#This Row],[FTP_DIARIO]]*Tabla9[[#This Row],[SALDO_PROM_CORREGIDO]]*Tabla9[[#This Row],[DIAS]]</f>
        <v>2824.1357233257158</v>
      </c>
      <c r="AJ210" s="3">
        <f>Tabla9[[#This Row],[REAL_FTP_MONTO]]-Tabla9[[#This Row],[INT_REAL]]</f>
        <v>1244.7765233257157</v>
      </c>
      <c r="AK210" s="3">
        <f>Tabla9[[#This Row],[FTP_DIARIO]]*Tabla9[[#This Row],[COMPROMISO]]*Tabla9[[#This Row],[DIAS]]</f>
        <v>5507.7719271375836</v>
      </c>
      <c r="AL210" s="13">
        <f>((( (Tabla9[[#This Row],[TASA_INT]])+1)^(30/360) -1)*(36000/30))/36000</f>
        <v>6.8389635919796637E-5</v>
      </c>
      <c r="AM210" s="3">
        <f>Tabla9[[#This Row],[TEA DIARIA]]*Tabla9[[#This Row],[SALDO_PROM_CORREGIDO]]*Tabla9[[#This Row],[DIAS]]</f>
        <v>1578.0197039317359</v>
      </c>
      <c r="AN210" s="3">
        <f>Tabla9[[#This Row],[TEA DIARIA]]*Tabla9[[#This Row],[COMPROMISO]]*Tabla9[[#This Row],[DIAS]]</f>
        <v>3077.5336163908487</v>
      </c>
      <c r="AO210" s="14">
        <f>+Tabla9[[#This Row],[PROYECTADO_FTP_MONTO]]-Tabla9[[#This Row],[PROYECCION_INTERES]]</f>
        <v>2430.2383107467349</v>
      </c>
      <c r="AP210" s="3">
        <f>Tabla9[[#This Row],[PROYECCION_MARGEN(FTP - Int compromiso)]]-Tabla9[[#This Row],[REAL_MARGEN(FTP - Int)]]</f>
        <v>1185.4617874210192</v>
      </c>
    </row>
    <row r="211" spans="1:42" x14ac:dyDescent="0.35">
      <c r="A211">
        <v>202604</v>
      </c>
      <c r="B211" s="7">
        <v>46142</v>
      </c>
      <c r="C211">
        <v>14207589</v>
      </c>
      <c r="D211" t="s">
        <v>36</v>
      </c>
      <c r="E211" t="s">
        <v>37</v>
      </c>
      <c r="F211" t="s">
        <v>184</v>
      </c>
      <c r="G211" t="s">
        <v>37</v>
      </c>
      <c r="H211" t="s">
        <v>498</v>
      </c>
      <c r="I211" t="s">
        <v>244</v>
      </c>
      <c r="J211" t="str">
        <f t="shared" ref="J211" si="214">IF(I211="SOLES","4.4963","3.388")</f>
        <v>3.388</v>
      </c>
      <c r="K211" t="s">
        <v>32</v>
      </c>
      <c r="L211" t="s">
        <v>33</v>
      </c>
      <c r="M211" t="s">
        <v>34</v>
      </c>
      <c r="N211" t="s">
        <v>386</v>
      </c>
      <c r="O211" t="s">
        <v>44</v>
      </c>
      <c r="P211" s="3">
        <v>20737817.4164</v>
      </c>
      <c r="Q211" s="3">
        <v>31161900.7859</v>
      </c>
      <c r="R211" s="4">
        <v>3.39E-2</v>
      </c>
      <c r="S211" s="3">
        <f>+Tabla9[[#This Row],[SAL_PROM_SOL]]</f>
        <v>20737817.4164</v>
      </c>
      <c r="T211" s="4">
        <v>3.7000000000000002E-3</v>
      </c>
      <c r="U211" s="4">
        <v>3.0200000000000001E-2</v>
      </c>
      <c r="V211" s="3">
        <v>57659.783300000003</v>
      </c>
      <c r="W211" s="3">
        <v>6330.7474000000002</v>
      </c>
      <c r="X211" s="3">
        <v>51329.035900000003</v>
      </c>
      <c r="Y211" s="3">
        <v>29.162199999999999</v>
      </c>
      <c r="Z211" s="3">
        <v>51299.873699999996</v>
      </c>
      <c r="AA211">
        <v>30</v>
      </c>
      <c r="AB211" t="b">
        <f t="shared" si="191"/>
        <v>1</v>
      </c>
      <c r="AC211" s="3">
        <v>15000000</v>
      </c>
      <c r="AD211" t="s">
        <v>46</v>
      </c>
      <c r="AE211" s="8">
        <v>46155.560022106481</v>
      </c>
      <c r="AF211" s="6">
        <f t="shared" ref="AF211" si="215">S211/AC211</f>
        <v>1.3825211610933335</v>
      </c>
      <c r="AG211" s="6" t="b">
        <f>+Tabla9[[#This Row],[CUMPLIMIENTO]]&lt;100%</f>
        <v>0</v>
      </c>
      <c r="AH211" s="12">
        <f>((( (Tabla9[[#This Row],[FTP_CIERRE_MES]]/100)+1)^(30/360) -1)*(36000/30))/36000</f>
        <v>9.2680593701059222E-5</v>
      </c>
      <c r="AI211" s="3">
        <f>Tabla9[[#This Row],[FTP_DIARIO]]*Tabla9[[#This Row],[SALDO_PROM_CORREGIDO]]*Tabla9[[#This Row],[DIAS]]</f>
        <v>57659.796906483542</v>
      </c>
      <c r="AJ211" s="3">
        <f>Tabla9[[#This Row],[REAL_FTP_MONTO]]-Tabla9[[#This Row],[INT_REAL]]</f>
        <v>51329.049506483541</v>
      </c>
      <c r="AK211" s="3">
        <f>Tabla9[[#This Row],[FTP_DIARIO]]*Tabla9[[#This Row],[COMPROMISO]]*Tabla9[[#This Row],[DIAS]]</f>
        <v>41706.267165476653</v>
      </c>
      <c r="AL211" s="13">
        <f>((( (Tabla9[[#This Row],[TASA_INT]])+1)^(30/360) -1)*(36000/30))/36000</f>
        <v>1.0260389469955259E-5</v>
      </c>
      <c r="AM211" s="3">
        <f>Tabla9[[#This Row],[TEA DIARIA]]*Tabla9[[#This Row],[SALDO_PROM_CORREGIDO]]*Tabla9[[#This Row],[DIAS]]</f>
        <v>6383.3425034725597</v>
      </c>
      <c r="AN211" s="3">
        <f>Tabla9[[#This Row],[TEA DIARIA]]*Tabla9[[#This Row],[COMPROMISO]]*Tabla9[[#This Row],[DIAS]]</f>
        <v>4617.175261479867</v>
      </c>
      <c r="AO211" s="14">
        <f>+Tabla9[[#This Row],[PROYECTADO_FTP_MONTO]]-Tabla9[[#This Row],[PROYECCION_INTERES]]</f>
        <v>37089.091903996785</v>
      </c>
      <c r="AP211" s="3">
        <f>Tabla9[[#This Row],[PROYECCION_MARGEN(FTP - Int compromiso)]]-Tabla9[[#This Row],[REAL_MARGEN(FTP - Int)]]</f>
        <v>-14239.957602486757</v>
      </c>
    </row>
    <row r="212" spans="1:42" x14ac:dyDescent="0.35">
      <c r="A212">
        <v>202604</v>
      </c>
      <c r="B212" s="7">
        <v>46142</v>
      </c>
      <c r="C212">
        <v>14224142</v>
      </c>
      <c r="D212" t="s">
        <v>29</v>
      </c>
      <c r="E212" t="s">
        <v>30</v>
      </c>
      <c r="F212" t="s">
        <v>185</v>
      </c>
      <c r="G212" t="s">
        <v>30</v>
      </c>
      <c r="H212" t="s">
        <v>516</v>
      </c>
      <c r="I212" t="s">
        <v>243</v>
      </c>
      <c r="J212" t="str">
        <f t="shared" ref="J212" si="216">IF(I212="SOLES","4.4963","3.388")</f>
        <v>4.4963</v>
      </c>
      <c r="K212" t="s">
        <v>32</v>
      </c>
      <c r="L212" t="s">
        <v>33</v>
      </c>
      <c r="M212" t="s">
        <v>31</v>
      </c>
      <c r="N212" t="s">
        <v>393</v>
      </c>
      <c r="O212" t="s">
        <v>44</v>
      </c>
      <c r="P212" s="3">
        <v>1380984.4389</v>
      </c>
      <c r="Q212" s="3">
        <v>2340709.58</v>
      </c>
      <c r="R212" s="4">
        <v>4.4999999999999998E-2</v>
      </c>
      <c r="S212" s="3">
        <f>+Tabla9[[#This Row],[SAL_PROM_SOL]]</f>
        <v>1380984.4389</v>
      </c>
      <c r="T212" s="4">
        <v>1.6799999999999999E-2</v>
      </c>
      <c r="U212" s="4">
        <v>2.8199999999999999E-2</v>
      </c>
      <c r="V212" s="3">
        <v>5070.7609000000002</v>
      </c>
      <c r="W212" s="3">
        <v>1920.3090999999999</v>
      </c>
      <c r="X212" s="3">
        <v>3150.4517999999998</v>
      </c>
      <c r="Y212" s="3">
        <v>43.9499</v>
      </c>
      <c r="Z212" s="3">
        <v>3106.5019000000002</v>
      </c>
      <c r="AA212">
        <v>22</v>
      </c>
      <c r="AB212" t="b">
        <f t="shared" si="191"/>
        <v>0</v>
      </c>
      <c r="AC212" s="3">
        <v>4000000</v>
      </c>
      <c r="AD212" t="s">
        <v>46</v>
      </c>
      <c r="AE212" s="8">
        <v>46155.560022106481</v>
      </c>
      <c r="AF212" s="6">
        <f t="shared" ref="AF212" si="217">S212/AC212</f>
        <v>0.34524610972499997</v>
      </c>
      <c r="AG212" s="6" t="b">
        <f>+Tabla9[[#This Row],[CUMPLIMIENTO]]&lt;100%</f>
        <v>1</v>
      </c>
      <c r="AH212" s="12">
        <f>((( (Tabla9[[#This Row],[FTP_CIERRE_MES]]/100)+1)^(30/360) -1)*(36000/30))/36000</f>
        <v>1.2239493171416853E-4</v>
      </c>
      <c r="AI212" s="3">
        <f>Tabla9[[#This Row],[FTP_DIARIO]]*Tabla9[[#This Row],[SALDO_PROM_CORREGIDO]]*Tabla9[[#This Row],[DIAS]]</f>
        <v>3718.5609141448863</v>
      </c>
      <c r="AJ212" s="3">
        <f>Tabla9[[#This Row],[REAL_FTP_MONTO]]-Tabla9[[#This Row],[INT_REAL]]</f>
        <v>1798.2518141448863</v>
      </c>
      <c r="AK212" s="3">
        <f>Tabla9[[#This Row],[FTP_DIARIO]]*Tabla9[[#This Row],[COMPROMISO]]*Tabla9[[#This Row],[DIAS]]</f>
        <v>10770.75399084683</v>
      </c>
      <c r="AL212" s="13">
        <f>((( (Tabla9[[#This Row],[TASA_INT]])+1)^(30/360) -1)*(36000/30))/36000</f>
        <v>4.6311143544756442E-5</v>
      </c>
      <c r="AM212" s="3">
        <f>Tabla9[[#This Row],[TEA DIARIA]]*Tabla9[[#This Row],[SALDO_PROM_CORREGIDO]]*Tabla9[[#This Row],[DIAS]]</f>
        <v>1407.0093088254023</v>
      </c>
      <c r="AN212" s="3">
        <f>Tabla9[[#This Row],[TEA DIARIA]]*Tabla9[[#This Row],[COMPROMISO]]*Tabla9[[#This Row],[DIAS]]</f>
        <v>4075.3806319385667</v>
      </c>
      <c r="AO212" s="14">
        <f>+Tabla9[[#This Row],[PROYECTADO_FTP_MONTO]]-Tabla9[[#This Row],[PROYECCION_INTERES]]</f>
        <v>6695.3733589082631</v>
      </c>
      <c r="AP212" s="3">
        <f>Tabla9[[#This Row],[PROYECCION_MARGEN(FTP - Int compromiso)]]-Tabla9[[#This Row],[REAL_MARGEN(FTP - Int)]]</f>
        <v>4897.1215447633767</v>
      </c>
    </row>
    <row r="213" spans="1:42" x14ac:dyDescent="0.35">
      <c r="A213">
        <v>202604</v>
      </c>
      <c r="B213" s="7">
        <v>46142</v>
      </c>
      <c r="C213">
        <v>14268747</v>
      </c>
      <c r="D213" t="s">
        <v>36</v>
      </c>
      <c r="E213" t="s">
        <v>37</v>
      </c>
      <c r="F213" t="s">
        <v>186</v>
      </c>
      <c r="G213" t="s">
        <v>37</v>
      </c>
      <c r="H213" t="s">
        <v>498</v>
      </c>
      <c r="I213" t="s">
        <v>243</v>
      </c>
      <c r="J213" t="str">
        <f t="shared" ref="J213:J214" si="218">IF(I213="SOLES","4.4963","3.388")</f>
        <v>4.4963</v>
      </c>
      <c r="K213" t="s">
        <v>32</v>
      </c>
      <c r="L213" t="s">
        <v>33</v>
      </c>
      <c r="M213" t="s">
        <v>31</v>
      </c>
      <c r="N213" t="s">
        <v>417</v>
      </c>
      <c r="O213" t="s">
        <v>44</v>
      </c>
      <c r="P213" s="3">
        <v>399370.38909999997</v>
      </c>
      <c r="Q213" s="3">
        <v>177804.99</v>
      </c>
      <c r="R213" s="4">
        <v>4.4999999999999998E-2</v>
      </c>
      <c r="S213" s="3">
        <f>+Tabla9[[#This Row],[SAL_PROM_SOL]]</f>
        <v>399370.38909999997</v>
      </c>
      <c r="T213" s="4">
        <v>2.0999999999999999E-3</v>
      </c>
      <c r="U213" s="4">
        <v>4.2900000000000001E-2</v>
      </c>
      <c r="V213" s="3">
        <v>1466.4287999999999</v>
      </c>
      <c r="W213" s="3">
        <v>69.369600000000005</v>
      </c>
      <c r="X213" s="3">
        <v>1397.0591999999999</v>
      </c>
      <c r="Y213" s="3">
        <v>43.9499</v>
      </c>
      <c r="Z213" s="3">
        <v>1353.1093000000001</v>
      </c>
      <c r="AA213">
        <v>30</v>
      </c>
      <c r="AB213" t="b">
        <f t="shared" si="191"/>
        <v>1</v>
      </c>
      <c r="AC213" s="3">
        <v>50000000</v>
      </c>
      <c r="AD213" t="s">
        <v>46</v>
      </c>
      <c r="AE213" s="8">
        <v>46155.560022106481</v>
      </c>
      <c r="AF213" s="6">
        <f t="shared" ref="AF213:AF214" si="219">S213/AC213</f>
        <v>7.9874077819999997E-3</v>
      </c>
      <c r="AG213" s="6" t="b">
        <f>+Tabla9[[#This Row],[CUMPLIMIENTO]]&lt;100%</f>
        <v>1</v>
      </c>
      <c r="AH213" s="12">
        <f>((( (Tabla9[[#This Row],[FTP_CIERRE_MES]]/100)+1)^(30/360) -1)*(36000/30))/36000</f>
        <v>1.2239493171416853E-4</v>
      </c>
      <c r="AI213" s="3">
        <f>Tabla9[[#This Row],[FTP_DIARIO]]*Tabla9[[#This Row],[SALDO_PROM_CORREGIDO]]*Tabla9[[#This Row],[DIAS]]</f>
        <v>1466.4273450766625</v>
      </c>
      <c r="AJ213" s="3">
        <f>Tabla9[[#This Row],[REAL_FTP_MONTO]]-Tabla9[[#This Row],[INT_REAL]]</f>
        <v>1397.0577450766625</v>
      </c>
      <c r="AK213" s="3">
        <f>Tabla9[[#This Row],[FTP_DIARIO]]*Tabla9[[#This Row],[COMPROMISO]]*Tabla9[[#This Row],[DIAS]]</f>
        <v>183592.39757125278</v>
      </c>
      <c r="AL213" s="13">
        <f>((( (Tabla9[[#This Row],[TASA_INT]])+1)^(30/360) -1)*(36000/30))/36000</f>
        <v>5.8277262713864649E-6</v>
      </c>
      <c r="AM213" s="3">
        <f>Tabla9[[#This Row],[TEA DIARIA]]*Tabla9[[#This Row],[SALDO_PROM_CORREGIDO]]*Tabla9[[#This Row],[DIAS]]</f>
        <v>69.822639257157135</v>
      </c>
      <c r="AN213" s="3">
        <f>Tabla9[[#This Row],[TEA DIARIA]]*Tabla9[[#This Row],[COMPROMISO]]*Tabla9[[#This Row],[DIAS]]</f>
        <v>8741.5894070796967</v>
      </c>
      <c r="AO213" s="14">
        <f>+Tabla9[[#This Row],[PROYECTADO_FTP_MONTO]]-Tabla9[[#This Row],[PROYECCION_INTERES]]</f>
        <v>174850.80816417307</v>
      </c>
      <c r="AP213" s="3">
        <f>Tabla9[[#This Row],[PROYECCION_MARGEN(FTP - Int compromiso)]]-Tabla9[[#This Row],[REAL_MARGEN(FTP - Int)]]</f>
        <v>173453.75041909641</v>
      </c>
    </row>
    <row r="214" spans="1:42" x14ac:dyDescent="0.35">
      <c r="A214">
        <v>202604</v>
      </c>
      <c r="B214" s="7">
        <v>46142</v>
      </c>
      <c r="C214">
        <v>14268747</v>
      </c>
      <c r="D214" t="s">
        <v>36</v>
      </c>
      <c r="E214" t="s">
        <v>37</v>
      </c>
      <c r="F214" t="s">
        <v>186</v>
      </c>
      <c r="G214" t="s">
        <v>37</v>
      </c>
      <c r="H214" t="s">
        <v>498</v>
      </c>
      <c r="I214" t="s">
        <v>243</v>
      </c>
      <c r="J214" t="str">
        <f t="shared" si="218"/>
        <v>4.4963</v>
      </c>
      <c r="K214" t="s">
        <v>32</v>
      </c>
      <c r="L214" t="s">
        <v>33</v>
      </c>
      <c r="M214" t="s">
        <v>31</v>
      </c>
      <c r="N214" t="s">
        <v>374</v>
      </c>
      <c r="O214" t="s">
        <v>44</v>
      </c>
      <c r="P214" s="3">
        <v>1779902.1492000001</v>
      </c>
      <c r="Q214" s="3">
        <v>2222731.87</v>
      </c>
      <c r="R214" s="4">
        <v>4.4999999999999998E-2</v>
      </c>
      <c r="S214" s="3">
        <f>+Tabla9[[#This Row],[SAL_PROM_SOL]]</f>
        <v>1779902.1492000001</v>
      </c>
      <c r="T214" s="4">
        <v>2E-3</v>
      </c>
      <c r="U214" s="4">
        <v>4.2999999999999997E-2</v>
      </c>
      <c r="V214" s="3">
        <v>6535.5300999999999</v>
      </c>
      <c r="W214" s="3">
        <v>296.38029999999998</v>
      </c>
      <c r="X214" s="3">
        <v>6239.1498000000001</v>
      </c>
      <c r="Y214" s="3">
        <v>0</v>
      </c>
      <c r="Z214" s="3">
        <v>6239.1498000000001</v>
      </c>
      <c r="AA214">
        <v>30</v>
      </c>
      <c r="AB214" t="b">
        <f t="shared" si="191"/>
        <v>1</v>
      </c>
      <c r="AC214" s="3">
        <v>50000000</v>
      </c>
      <c r="AD214" t="s">
        <v>46</v>
      </c>
      <c r="AE214" s="8">
        <v>46155.560022106481</v>
      </c>
      <c r="AF214" s="6">
        <f t="shared" si="219"/>
        <v>3.5598042984000003E-2</v>
      </c>
      <c r="AG214" s="6" t="b">
        <f>+Tabla9[[#This Row],[CUMPLIMIENTO]]&lt;100%</f>
        <v>1</v>
      </c>
      <c r="AH214" s="12">
        <f>((( (Tabla9[[#This Row],[FTP_CIERRE_MES]]/100)+1)^(30/360) -1)*(36000/30))/36000</f>
        <v>1.2239493171416853E-4</v>
      </c>
      <c r="AI214" s="3">
        <f>Tabla9[[#This Row],[FTP_DIARIO]]*Tabla9[[#This Row],[SALDO_PROM_CORREGIDO]]*Tabla9[[#This Row],[DIAS]]</f>
        <v>6535.530060277074</v>
      </c>
      <c r="AJ214" s="3">
        <f>Tabla9[[#This Row],[REAL_FTP_MONTO]]-Tabla9[[#This Row],[INT_REAL]]</f>
        <v>6239.1497602770742</v>
      </c>
      <c r="AK214" s="3">
        <f>Tabla9[[#This Row],[FTP_DIARIO]]*Tabla9[[#This Row],[COMPROMISO]]*Tabla9[[#This Row],[DIAS]]</f>
        <v>183592.39757125278</v>
      </c>
      <c r="AL214" s="13">
        <f>((( (Tabla9[[#This Row],[TASA_INT]])+1)^(30/360) -1)*(36000/30))/36000</f>
        <v>5.5504694606911545E-6</v>
      </c>
      <c r="AM214" s="3">
        <f>Tabla9[[#This Row],[TEA DIARIA]]*Tabla9[[#This Row],[SALDO_PROM_CORREGIDO]]*Tabla9[[#This Row],[DIAS]]</f>
        <v>296.37877566459457</v>
      </c>
      <c r="AN214" s="3">
        <f>Tabla9[[#This Row],[TEA DIARIA]]*Tabla9[[#This Row],[COMPROMISO]]*Tabla9[[#This Row],[DIAS]]</f>
        <v>8325.7041910367334</v>
      </c>
      <c r="AO214" s="14">
        <f>+Tabla9[[#This Row],[PROYECTADO_FTP_MONTO]]-Tabla9[[#This Row],[PROYECCION_INTERES]]</f>
        <v>175266.69338021605</v>
      </c>
      <c r="AP214" s="3">
        <f>Tabla9[[#This Row],[PROYECCION_MARGEN(FTP - Int compromiso)]]-Tabla9[[#This Row],[REAL_MARGEN(FTP - Int)]]</f>
        <v>169027.54361993898</v>
      </c>
    </row>
    <row r="215" spans="1:42" x14ac:dyDescent="0.35">
      <c r="A215">
        <v>202604</v>
      </c>
      <c r="B215" s="7">
        <v>46142</v>
      </c>
      <c r="C215">
        <v>14321917</v>
      </c>
      <c r="D215" t="s">
        <v>36</v>
      </c>
      <c r="E215" t="s">
        <v>37</v>
      </c>
      <c r="F215" t="s">
        <v>187</v>
      </c>
      <c r="G215" t="s">
        <v>37</v>
      </c>
      <c r="H215" t="s">
        <v>499</v>
      </c>
      <c r="I215" t="s">
        <v>244</v>
      </c>
      <c r="J215" t="str">
        <f t="shared" ref="J215" si="220">IF(I215="SOLES","4.4963","3.388")</f>
        <v>3.388</v>
      </c>
      <c r="K215" t="s">
        <v>32</v>
      </c>
      <c r="L215" t="s">
        <v>33</v>
      </c>
      <c r="M215" t="s">
        <v>34</v>
      </c>
      <c r="N215" t="s">
        <v>429</v>
      </c>
      <c r="O215" t="s">
        <v>44</v>
      </c>
      <c r="P215" s="3">
        <v>66098584.026799999</v>
      </c>
      <c r="Q215" s="3">
        <v>63961498.389700003</v>
      </c>
      <c r="R215" s="4">
        <v>3.39E-2</v>
      </c>
      <c r="S215" s="3">
        <f>+Tabla9[[#This Row],[SAL_PROM_SOL]]</f>
        <v>66098584.026799999</v>
      </c>
      <c r="T215" s="4">
        <v>3.1399999999999997E-2</v>
      </c>
      <c r="U215" s="4">
        <v>2.5000000000000001E-3</v>
      </c>
      <c r="V215" s="3">
        <v>183781.69349999999</v>
      </c>
      <c r="W215" s="3">
        <v>170502.93770000001</v>
      </c>
      <c r="X215" s="3">
        <v>13278.755800000001</v>
      </c>
      <c r="Y215" s="3">
        <v>0</v>
      </c>
      <c r="Z215" s="3">
        <v>13278.755800000001</v>
      </c>
      <c r="AA215">
        <v>30</v>
      </c>
      <c r="AB215" t="b">
        <f t="shared" si="191"/>
        <v>1</v>
      </c>
      <c r="AC215" s="3">
        <v>20000000</v>
      </c>
      <c r="AD215" t="s">
        <v>46</v>
      </c>
      <c r="AE215" s="8">
        <v>46155.560022106481</v>
      </c>
      <c r="AF215" s="6">
        <f t="shared" ref="AF215" si="221">S215/AC215</f>
        <v>3.3049292013399998</v>
      </c>
      <c r="AG215" s="6" t="b">
        <f>+Tabla9[[#This Row],[CUMPLIMIENTO]]&lt;100%</f>
        <v>0</v>
      </c>
      <c r="AH215" s="12">
        <f>((( (Tabla9[[#This Row],[FTP_CIERRE_MES]]/100)+1)^(30/360) -1)*(36000/30))/36000</f>
        <v>9.2680593701059222E-5</v>
      </c>
      <c r="AI215" s="3">
        <f>Tabla9[[#This Row],[FTP_DIARIO]]*Tabla9[[#This Row],[SALDO_PROM_CORREGIDO]]*Tabla9[[#This Row],[DIAS]]</f>
        <v>183781.68031209521</v>
      </c>
      <c r="AJ215" s="3">
        <f>Tabla9[[#This Row],[REAL_FTP_MONTO]]-Tabla9[[#This Row],[INT_REAL]]</f>
        <v>13278.7426120952</v>
      </c>
      <c r="AK215" s="3">
        <f>Tabla9[[#This Row],[FTP_DIARIO]]*Tabla9[[#This Row],[COMPROMISO]]*Tabla9[[#This Row],[DIAS]]</f>
        <v>55608.356220635527</v>
      </c>
      <c r="AL215" s="13">
        <f>((( (Tabla9[[#This Row],[TASA_INT]])+1)^(30/360) -1)*(36000/30))/36000</f>
        <v>8.5991568507467106E-5</v>
      </c>
      <c r="AM215" s="3">
        <f>Tabla9[[#This Row],[TEA DIARIA]]*Tabla9[[#This Row],[SALDO_PROM_CORREGIDO]]*Tabla9[[#This Row],[DIAS]]</f>
        <v>170517.6274976143</v>
      </c>
      <c r="AN215" s="3">
        <f>Tabla9[[#This Row],[TEA DIARIA]]*Tabla9[[#This Row],[COMPROMISO]]*Tabla9[[#This Row],[DIAS]]</f>
        <v>51594.941104480262</v>
      </c>
      <c r="AO215" s="14">
        <f>+Tabla9[[#This Row],[PROYECTADO_FTP_MONTO]]-Tabla9[[#This Row],[PROYECCION_INTERES]]</f>
        <v>4013.4151161552654</v>
      </c>
      <c r="AP215" s="3">
        <f>Tabla9[[#This Row],[PROYECCION_MARGEN(FTP - Int compromiso)]]-Tabla9[[#This Row],[REAL_MARGEN(FTP - Int)]]</f>
        <v>-9265.327495939935</v>
      </c>
    </row>
    <row r="216" spans="1:42" x14ac:dyDescent="0.35">
      <c r="A216">
        <v>202604</v>
      </c>
      <c r="B216" s="7">
        <v>46142</v>
      </c>
      <c r="C216">
        <v>14424251</v>
      </c>
      <c r="D216" t="s">
        <v>36</v>
      </c>
      <c r="E216" t="s">
        <v>37</v>
      </c>
      <c r="F216" t="s">
        <v>188</v>
      </c>
      <c r="G216" t="s">
        <v>37</v>
      </c>
      <c r="H216" t="s">
        <v>491</v>
      </c>
      <c r="I216" t="s">
        <v>243</v>
      </c>
      <c r="J216" t="str">
        <f t="shared" ref="J216" si="222">IF(I216="SOLES","4.4963","3.388")</f>
        <v>4.4963</v>
      </c>
      <c r="K216" t="s">
        <v>32</v>
      </c>
      <c r="L216" t="s">
        <v>33</v>
      </c>
      <c r="M216" t="s">
        <v>31</v>
      </c>
      <c r="N216" t="s">
        <v>276</v>
      </c>
      <c r="O216" t="s">
        <v>44</v>
      </c>
      <c r="P216" s="3">
        <v>40437.139799999997</v>
      </c>
      <c r="Q216" s="3">
        <v>121069.5</v>
      </c>
      <c r="R216" s="4">
        <v>4.4999999999999998E-2</v>
      </c>
      <c r="S216" s="3">
        <f>+Tabla9[[#This Row],[SAL_PROM_SOL]]</f>
        <v>40437.139799999997</v>
      </c>
      <c r="T216" s="4">
        <v>0</v>
      </c>
      <c r="U216" s="4">
        <v>4.4999999999999998E-2</v>
      </c>
      <c r="V216" s="3">
        <v>148.4794</v>
      </c>
      <c r="W216" s="3">
        <v>0</v>
      </c>
      <c r="X216" s="3">
        <v>148.4794</v>
      </c>
      <c r="Y216" s="3">
        <v>43.9499</v>
      </c>
      <c r="Z216" s="3">
        <v>104.5295</v>
      </c>
      <c r="AA216">
        <v>30</v>
      </c>
      <c r="AB216" t="b">
        <f t="shared" si="191"/>
        <v>1</v>
      </c>
      <c r="AC216" s="3">
        <v>1000000</v>
      </c>
      <c r="AD216" t="s">
        <v>45</v>
      </c>
      <c r="AE216" s="8">
        <v>46155.560022106481</v>
      </c>
      <c r="AF216" s="6">
        <f t="shared" ref="AF216:AF217" si="223">S216/AC216</f>
        <v>4.0437139799999994E-2</v>
      </c>
      <c r="AG216" s="6" t="b">
        <f>+Tabla9[[#This Row],[CUMPLIMIENTO]]&lt;100%</f>
        <v>1</v>
      </c>
      <c r="AH216" s="12">
        <f>((( (Tabla9[[#This Row],[FTP_CIERRE_MES]]/100)+1)^(30/360) -1)*(36000/30))/36000</f>
        <v>1.2239493171416853E-4</v>
      </c>
      <c r="AI216" s="3">
        <f>Tabla9[[#This Row],[FTP_DIARIO]]*Tabla9[[#This Row],[SALDO_PROM_CORREGIDO]]*Tabla9[[#This Row],[DIAS]]</f>
        <v>148.47902893611857</v>
      </c>
      <c r="AJ216" s="3">
        <f>Tabla9[[#This Row],[REAL_FTP_MONTO]]-Tabla9[[#This Row],[INT_REAL]]</f>
        <v>148.47902893611857</v>
      </c>
      <c r="AK216" s="3">
        <f>Tabla9[[#This Row],[FTP_DIARIO]]*Tabla9[[#This Row],[COMPROMISO]]*Tabla9[[#This Row],[DIAS]]</f>
        <v>3671.8479514250557</v>
      </c>
      <c r="AL216" s="13">
        <f>((( (Tabla9[[#This Row],[TASA_INT]])+1)^(30/360) -1)*(36000/30))/36000</f>
        <v>0</v>
      </c>
      <c r="AM216" s="3">
        <f>Tabla9[[#This Row],[TEA DIARIA]]*Tabla9[[#This Row],[SALDO_PROM_CORREGIDO]]*Tabla9[[#This Row],[DIAS]]</f>
        <v>0</v>
      </c>
      <c r="AN216" s="3">
        <f>Tabla9[[#This Row],[TEA DIARIA]]*Tabla9[[#This Row],[COMPROMISO]]*Tabla9[[#This Row],[DIAS]]</f>
        <v>0</v>
      </c>
      <c r="AO216" s="14">
        <f>+Tabla9[[#This Row],[PROYECTADO_FTP_MONTO]]-Tabla9[[#This Row],[PROYECCION_INTERES]]</f>
        <v>3671.8479514250557</v>
      </c>
      <c r="AP216" s="3">
        <f>Tabla9[[#This Row],[PROYECCION_MARGEN(FTP - Int compromiso)]]-Tabla9[[#This Row],[REAL_MARGEN(FTP - Int)]]</f>
        <v>3523.3689224889372</v>
      </c>
    </row>
    <row r="217" spans="1:42" x14ac:dyDescent="0.35">
      <c r="A217">
        <v>202604</v>
      </c>
      <c r="B217" s="7">
        <v>46142</v>
      </c>
      <c r="C217">
        <v>14427646</v>
      </c>
      <c r="D217" t="s">
        <v>36</v>
      </c>
      <c r="E217" t="s">
        <v>37</v>
      </c>
      <c r="F217" t="s">
        <v>189</v>
      </c>
      <c r="G217" t="s">
        <v>37</v>
      </c>
      <c r="H217" t="s">
        <v>511</v>
      </c>
      <c r="I217" t="s">
        <v>243</v>
      </c>
      <c r="J217" t="str">
        <f t="shared" ref="J217" si="224">IF(I217="SOLES","4.4963","3.388")</f>
        <v>4.4963</v>
      </c>
      <c r="K217" t="s">
        <v>32</v>
      </c>
      <c r="L217" t="s">
        <v>33</v>
      </c>
      <c r="M217" t="s">
        <v>31</v>
      </c>
      <c r="N217" t="s">
        <v>430</v>
      </c>
      <c r="O217" t="s">
        <v>44</v>
      </c>
      <c r="P217" s="3">
        <v>10554638.3684</v>
      </c>
      <c r="Q217" s="3">
        <v>12914691.689999999</v>
      </c>
      <c r="R217" s="4">
        <v>4.4999999999999998E-2</v>
      </c>
      <c r="S217" s="3">
        <f>+Tabla9[[#This Row],[SAL_PROM_SOL]]</f>
        <v>10554638.3684</v>
      </c>
      <c r="T217" s="4">
        <v>2.5000000000000001E-2</v>
      </c>
      <c r="U217" s="4">
        <v>0.02</v>
      </c>
      <c r="V217" s="3">
        <v>38755.031199999998</v>
      </c>
      <c r="W217" s="3">
        <v>21761.9601</v>
      </c>
      <c r="X217" s="3">
        <v>16993.071100000001</v>
      </c>
      <c r="Y217" s="3">
        <v>43.9499</v>
      </c>
      <c r="Z217" s="3">
        <v>16949.121200000001</v>
      </c>
      <c r="AA217">
        <v>30</v>
      </c>
      <c r="AB217" t="b">
        <f t="shared" si="191"/>
        <v>1</v>
      </c>
      <c r="AC217" s="3">
        <v>5000000</v>
      </c>
      <c r="AD217" t="s">
        <v>46</v>
      </c>
      <c r="AE217" s="8">
        <v>46155.560022106481</v>
      </c>
      <c r="AF217" s="6">
        <f t="shared" si="223"/>
        <v>2.11092767368</v>
      </c>
      <c r="AG217" s="6" t="b">
        <f>+Tabla9[[#This Row],[CUMPLIMIENTO]]&lt;100%</f>
        <v>0</v>
      </c>
      <c r="AH217" s="12">
        <f>((( (Tabla9[[#This Row],[FTP_CIERRE_MES]]/100)+1)^(30/360) -1)*(36000/30))/36000</f>
        <v>1.2239493171416853E-4</v>
      </c>
      <c r="AI217" s="3">
        <f>Tabla9[[#This Row],[FTP_DIARIO]]*Tabla9[[#This Row],[SALDO_PROM_CORREGIDO]]*Tabla9[[#This Row],[DIAS]]</f>
        <v>38755.027271041828</v>
      </c>
      <c r="AJ217" s="3">
        <f>Tabla9[[#This Row],[REAL_FTP_MONTO]]-Tabla9[[#This Row],[INT_REAL]]</f>
        <v>16993.067171041828</v>
      </c>
      <c r="AK217" s="3">
        <f>Tabla9[[#This Row],[FTP_DIARIO]]*Tabla9[[#This Row],[COMPROMISO]]*Tabla9[[#This Row],[DIAS]]</f>
        <v>18359.23975712528</v>
      </c>
      <c r="AL217" s="13">
        <f>((( (Tabla9[[#This Row],[TASA_INT]])+1)^(30/360) -1)*(36000/30))/36000</f>
        <v>6.8661208994758022E-5</v>
      </c>
      <c r="AM217" s="3">
        <f>Tabla9[[#This Row],[TEA DIARIA]]*Tabla9[[#This Row],[SALDO_PROM_CORREGIDO]]*Tabla9[[#This Row],[DIAS]]</f>
        <v>21740.826926304126</v>
      </c>
      <c r="AN217" s="3">
        <f>Tabla9[[#This Row],[TEA DIARIA]]*Tabla9[[#This Row],[COMPROMISO]]*Tabla9[[#This Row],[DIAS]]</f>
        <v>10299.181349213703</v>
      </c>
      <c r="AO217" s="14">
        <f>+Tabla9[[#This Row],[PROYECTADO_FTP_MONTO]]-Tabla9[[#This Row],[PROYECCION_INTERES]]</f>
        <v>8060.0584079115779</v>
      </c>
      <c r="AP217" s="3">
        <f>Tabla9[[#This Row],[PROYECCION_MARGEN(FTP - Int compromiso)]]-Tabla9[[#This Row],[REAL_MARGEN(FTP - Int)]]</f>
        <v>-8933.0087631302504</v>
      </c>
    </row>
    <row r="218" spans="1:42" x14ac:dyDescent="0.35">
      <c r="A218">
        <v>202604</v>
      </c>
      <c r="B218" s="7">
        <v>46142</v>
      </c>
      <c r="C218">
        <v>14861865</v>
      </c>
      <c r="D218" t="s">
        <v>29</v>
      </c>
      <c r="E218" t="s">
        <v>35</v>
      </c>
      <c r="F218" t="s">
        <v>190</v>
      </c>
      <c r="G218" t="s">
        <v>35</v>
      </c>
      <c r="H218" t="s">
        <v>524</v>
      </c>
      <c r="I218" t="s">
        <v>244</v>
      </c>
      <c r="J218" t="str">
        <f t="shared" ref="J218" si="225">IF(I218="SOLES","4.4963","3.388")</f>
        <v>3.388</v>
      </c>
      <c r="K218" t="s">
        <v>32</v>
      </c>
      <c r="L218" t="s">
        <v>33</v>
      </c>
      <c r="M218" t="s">
        <v>34</v>
      </c>
      <c r="N218" t="s">
        <v>333</v>
      </c>
      <c r="O218" t="s">
        <v>44</v>
      </c>
      <c r="P218" s="3">
        <v>1339369.2112</v>
      </c>
      <c r="Q218" s="3">
        <v>1019482.6727999999</v>
      </c>
      <c r="R218" s="4">
        <v>3.39E-2</v>
      </c>
      <c r="S218" s="3">
        <f>+Tabla9[[#This Row],[SAL_PROM_SOL]]</f>
        <v>1339369.2112</v>
      </c>
      <c r="T218" s="4">
        <v>6.9999999999999999E-4</v>
      </c>
      <c r="U218" s="4">
        <v>3.32E-2</v>
      </c>
      <c r="V218" s="3">
        <v>3724.0176999999999</v>
      </c>
      <c r="W218" s="3">
        <v>79.9465</v>
      </c>
      <c r="X218" s="3">
        <v>3644.0711999999999</v>
      </c>
      <c r="Y218" s="3">
        <v>28.886800000000001</v>
      </c>
      <c r="Z218" s="3">
        <v>3615.1844000000001</v>
      </c>
      <c r="AA218">
        <v>16</v>
      </c>
      <c r="AB218" t="b">
        <f t="shared" si="191"/>
        <v>0</v>
      </c>
      <c r="AC218" s="3">
        <v>100000</v>
      </c>
      <c r="AD218" t="s">
        <v>45</v>
      </c>
      <c r="AE218" s="8">
        <v>46155.560022106481</v>
      </c>
      <c r="AF218" s="6">
        <f t="shared" ref="AF218" si="226">S218/AC218</f>
        <v>13.393692112</v>
      </c>
      <c r="AG218" s="6" t="b">
        <f>+Tabla9[[#This Row],[CUMPLIMIENTO]]&lt;100%</f>
        <v>0</v>
      </c>
      <c r="AH218" s="12">
        <f>((( (Tabla9[[#This Row],[FTP_CIERRE_MES]]/100)+1)^(30/360) -1)*(36000/30))/36000</f>
        <v>9.2680593701059222E-5</v>
      </c>
      <c r="AI218" s="3">
        <f>Tabla9[[#This Row],[FTP_DIARIO]]*Tabla9[[#This Row],[SALDO_PROM_CORREGIDO]]*Tabla9[[#This Row],[DIAS]]</f>
        <v>1986.1365388629661</v>
      </c>
      <c r="AJ218" s="3">
        <f>Tabla9[[#This Row],[REAL_FTP_MONTO]]-Tabla9[[#This Row],[INT_REAL]]</f>
        <v>1906.190038862966</v>
      </c>
      <c r="AK218" s="3">
        <f>Tabla9[[#This Row],[FTP_DIARIO]]*Tabla9[[#This Row],[COMPROMISO]]*Tabla9[[#This Row],[DIAS]]</f>
        <v>148.28894992169475</v>
      </c>
      <c r="AL218" s="13">
        <f>((( (Tabla9[[#This Row],[TASA_INT]])+1)^(30/360) -1)*(36000/30))/36000</f>
        <v>1.9438208807083985E-6</v>
      </c>
      <c r="AM218" s="3">
        <f>Tabla9[[#This Row],[TEA DIARIA]]*Tabla9[[#This Row],[SALDO_PROM_CORREGIDO]]*Tabla9[[#This Row],[DIAS]]</f>
        <v>41.655901435335956</v>
      </c>
      <c r="AN218" s="3">
        <f>Tabla9[[#This Row],[TEA DIARIA]]*Tabla9[[#This Row],[COMPROMISO]]*Tabla9[[#This Row],[DIAS]]</f>
        <v>3.1101134091334375</v>
      </c>
      <c r="AO218" s="14">
        <f>+Tabla9[[#This Row],[PROYECTADO_FTP_MONTO]]-Tabla9[[#This Row],[PROYECCION_INTERES]]</f>
        <v>145.1788365125613</v>
      </c>
      <c r="AP218" s="3">
        <f>Tabla9[[#This Row],[PROYECCION_MARGEN(FTP - Int compromiso)]]-Tabla9[[#This Row],[REAL_MARGEN(FTP - Int)]]</f>
        <v>-1761.0112023504048</v>
      </c>
    </row>
    <row r="219" spans="1:42" x14ac:dyDescent="0.35">
      <c r="A219">
        <v>202604</v>
      </c>
      <c r="B219" s="7">
        <v>46142</v>
      </c>
      <c r="C219">
        <v>15186375</v>
      </c>
      <c r="D219" t="s">
        <v>29</v>
      </c>
      <c r="E219" t="s">
        <v>40</v>
      </c>
      <c r="F219" t="s">
        <v>191</v>
      </c>
      <c r="G219" t="s">
        <v>40</v>
      </c>
      <c r="H219" t="s">
        <v>509</v>
      </c>
      <c r="I219" t="s">
        <v>243</v>
      </c>
      <c r="J219" t="str">
        <f t="shared" ref="J219" si="227">IF(I219="SOLES","4.4963","3.388")</f>
        <v>4.4963</v>
      </c>
      <c r="K219" t="s">
        <v>32</v>
      </c>
      <c r="L219" t="s">
        <v>33</v>
      </c>
      <c r="M219" t="s">
        <v>31</v>
      </c>
      <c r="N219" t="s">
        <v>431</v>
      </c>
      <c r="O219" t="s">
        <v>44</v>
      </c>
      <c r="P219" s="3">
        <v>601081.78049999999</v>
      </c>
      <c r="Q219" s="3">
        <v>375540.93</v>
      </c>
      <c r="R219" s="4">
        <v>4.4999999999999998E-2</v>
      </c>
      <c r="S219" s="3">
        <f>+Tabla9[[#This Row],[SAL_PROM_SOL]]</f>
        <v>601081.78049999999</v>
      </c>
      <c r="T219" s="4">
        <v>2.1000000000000001E-2</v>
      </c>
      <c r="U219" s="4">
        <v>2.4E-2</v>
      </c>
      <c r="V219" s="3">
        <v>2207.0801000000001</v>
      </c>
      <c r="W219" s="3">
        <v>1042.1892</v>
      </c>
      <c r="X219" s="3">
        <v>1164.8909000000001</v>
      </c>
      <c r="Y219" s="3">
        <v>43.9499</v>
      </c>
      <c r="Z219" s="3">
        <v>1120.941</v>
      </c>
      <c r="AA219">
        <v>30</v>
      </c>
      <c r="AB219" t="b">
        <f t="shared" si="191"/>
        <v>1</v>
      </c>
      <c r="AC219" s="3">
        <v>1000000</v>
      </c>
      <c r="AD219" t="s">
        <v>46</v>
      </c>
      <c r="AE219" s="8">
        <v>46155.560022106481</v>
      </c>
      <c r="AF219" s="6">
        <f t="shared" ref="AF219" si="228">S219/AC219</f>
        <v>0.60108178049999994</v>
      </c>
      <c r="AG219" s="6" t="b">
        <f>+Tabla9[[#This Row],[CUMPLIMIENTO]]&lt;100%</f>
        <v>1</v>
      </c>
      <c r="AH219" s="12">
        <f>((( (Tabla9[[#This Row],[FTP_CIERRE_MES]]/100)+1)^(30/360) -1)*(36000/30))/36000</f>
        <v>1.2239493171416853E-4</v>
      </c>
      <c r="AI219" s="3">
        <f>Tabla9[[#This Row],[FTP_DIARIO]]*Tabla9[[#This Row],[SALDO_PROM_CORREGIDO]]*Tabla9[[#This Row],[DIAS]]</f>
        <v>2207.0809043678501</v>
      </c>
      <c r="AJ219" s="3">
        <f>Tabla9[[#This Row],[REAL_FTP_MONTO]]-Tabla9[[#This Row],[INT_REAL]]</f>
        <v>1164.89170436785</v>
      </c>
      <c r="AK219" s="3">
        <f>Tabla9[[#This Row],[FTP_DIARIO]]*Tabla9[[#This Row],[COMPROMISO]]*Tabla9[[#This Row],[DIAS]]</f>
        <v>3671.8479514250557</v>
      </c>
      <c r="AL219" s="13">
        <f>((( (Tabla9[[#This Row],[TASA_INT]])+1)^(30/360) -1)*(36000/30))/36000</f>
        <v>5.7779294417170667E-5</v>
      </c>
      <c r="AM219" s="3">
        <f>Tabla9[[#This Row],[TEA DIARIA]]*Tabla9[[#This Row],[SALDO_PROM_CORREGIDO]]*Tabla9[[#This Row],[DIAS]]</f>
        <v>1041.9024349291997</v>
      </c>
      <c r="AN219" s="3">
        <f>Tabla9[[#This Row],[TEA DIARIA]]*Tabla9[[#This Row],[COMPROMISO]]*Tabla9[[#This Row],[DIAS]]</f>
        <v>1733.3788325151199</v>
      </c>
      <c r="AO219" s="14">
        <f>+Tabla9[[#This Row],[PROYECTADO_FTP_MONTO]]-Tabla9[[#This Row],[PROYECCION_INTERES]]</f>
        <v>1938.4691189099358</v>
      </c>
      <c r="AP219" s="3">
        <f>Tabla9[[#This Row],[PROYECCION_MARGEN(FTP - Int compromiso)]]-Tabla9[[#This Row],[REAL_MARGEN(FTP - Int)]]</f>
        <v>773.57741454208576</v>
      </c>
    </row>
    <row r="220" spans="1:42" x14ac:dyDescent="0.35">
      <c r="A220">
        <v>202604</v>
      </c>
      <c r="B220" s="7">
        <v>46142</v>
      </c>
      <c r="C220">
        <v>15268702</v>
      </c>
      <c r="D220" t="s">
        <v>36</v>
      </c>
      <c r="E220" t="s">
        <v>37</v>
      </c>
      <c r="F220" t="s">
        <v>192</v>
      </c>
      <c r="G220" t="s">
        <v>37</v>
      </c>
      <c r="H220" t="s">
        <v>498</v>
      </c>
      <c r="I220" t="s">
        <v>244</v>
      </c>
      <c r="J220" t="str">
        <f t="shared" ref="J220" si="229">IF(I220="SOLES","4.4963","3.388")</f>
        <v>3.388</v>
      </c>
      <c r="K220" t="s">
        <v>32</v>
      </c>
      <c r="L220" t="s">
        <v>33</v>
      </c>
      <c r="M220" t="s">
        <v>34</v>
      </c>
      <c r="N220" t="s">
        <v>291</v>
      </c>
      <c r="O220" t="s">
        <v>44</v>
      </c>
      <c r="P220" s="3">
        <v>339714.40600000002</v>
      </c>
      <c r="Q220" s="3">
        <v>335501.12</v>
      </c>
      <c r="R220" s="4">
        <v>3.39E-2</v>
      </c>
      <c r="S220" s="3">
        <f>+Tabla9[[#This Row],[SAL_PROM_SOL]]</f>
        <v>339714.40600000002</v>
      </c>
      <c r="T220" s="4">
        <v>3.5000000000000001E-3</v>
      </c>
      <c r="U220" s="4">
        <v>3.04E-2</v>
      </c>
      <c r="V220" s="3">
        <v>944.55259999999998</v>
      </c>
      <c r="W220" s="3">
        <v>98.917400000000001</v>
      </c>
      <c r="X220" s="3">
        <v>845.63520000000005</v>
      </c>
      <c r="Y220" s="3">
        <v>43.003100000000003</v>
      </c>
      <c r="Z220" s="3">
        <v>802.63210000000004</v>
      </c>
      <c r="AA220">
        <v>30</v>
      </c>
      <c r="AB220" t="b">
        <f t="shared" si="191"/>
        <v>1</v>
      </c>
      <c r="AC220" s="3">
        <v>15000000</v>
      </c>
      <c r="AD220" t="s">
        <v>46</v>
      </c>
      <c r="AE220" s="8">
        <v>46155.560022106481</v>
      </c>
      <c r="AF220" s="6">
        <f t="shared" ref="AF220" si="230">S220/AC220</f>
        <v>2.2647627066666669E-2</v>
      </c>
      <c r="AG220" s="6" t="b">
        <f>+Tabla9[[#This Row],[CUMPLIMIENTO]]&lt;100%</f>
        <v>1</v>
      </c>
      <c r="AH220" s="12">
        <f>((( (Tabla9[[#This Row],[FTP_CIERRE_MES]]/100)+1)^(30/360) -1)*(36000/30))/36000</f>
        <v>9.2680593701059222E-5</v>
      </c>
      <c r="AI220" s="3">
        <f>Tabla9[[#This Row],[FTP_DIARIO]]*Tabla9[[#This Row],[SALDO_PROM_CORREGIDO]]*Tabla9[[#This Row],[DIAS]]</f>
        <v>944.54798510648038</v>
      </c>
      <c r="AJ220" s="3">
        <f>Tabla9[[#This Row],[REAL_FTP_MONTO]]-Tabla9[[#This Row],[INT_REAL]]</f>
        <v>845.63058510648034</v>
      </c>
      <c r="AK220" s="3">
        <f>Tabla9[[#This Row],[FTP_DIARIO]]*Tabla9[[#This Row],[COMPROMISO]]*Tabla9[[#This Row],[DIAS]]</f>
        <v>41706.267165476653</v>
      </c>
      <c r="AL220" s="13">
        <f>((( (Tabla9[[#This Row],[TASA_INT]])+1)^(30/360) -1)*(36000/30))/36000</f>
        <v>9.7066609431835826E-6</v>
      </c>
      <c r="AM220" s="3">
        <f>Tabla9[[#This Row],[TEA DIARIA]]*Tabla9[[#This Row],[SALDO_PROM_CORREGIDO]]*Tabla9[[#This Row],[DIAS]]</f>
        <v>98.924776696710325</v>
      </c>
      <c r="AN220" s="3">
        <f>Tabla9[[#This Row],[TEA DIARIA]]*Tabla9[[#This Row],[COMPROMISO]]*Tabla9[[#This Row],[DIAS]]</f>
        <v>4367.9974244326122</v>
      </c>
      <c r="AO220" s="14">
        <f>+Tabla9[[#This Row],[PROYECTADO_FTP_MONTO]]-Tabla9[[#This Row],[PROYECCION_INTERES]]</f>
        <v>37338.269741044038</v>
      </c>
      <c r="AP220" s="3">
        <f>Tabla9[[#This Row],[PROYECCION_MARGEN(FTP - Int compromiso)]]-Tabla9[[#This Row],[REAL_MARGEN(FTP - Int)]]</f>
        <v>36492.639155937555</v>
      </c>
    </row>
    <row r="221" spans="1:42" x14ac:dyDescent="0.35">
      <c r="A221">
        <v>202604</v>
      </c>
      <c r="B221" s="7">
        <v>46142</v>
      </c>
      <c r="C221">
        <v>15291348</v>
      </c>
      <c r="D221" t="s">
        <v>29</v>
      </c>
      <c r="E221" t="s">
        <v>35</v>
      </c>
      <c r="F221" t="s">
        <v>193</v>
      </c>
      <c r="G221" t="s">
        <v>35</v>
      </c>
      <c r="H221" t="s">
        <v>525</v>
      </c>
      <c r="I221" t="s">
        <v>244</v>
      </c>
      <c r="J221" t="str">
        <f t="shared" ref="J221" si="231">IF(I221="SOLES","4.4963","3.388")</f>
        <v>3.388</v>
      </c>
      <c r="K221" t="s">
        <v>32</v>
      </c>
      <c r="L221" t="s">
        <v>33</v>
      </c>
      <c r="M221" t="s">
        <v>34</v>
      </c>
      <c r="N221" t="s">
        <v>432</v>
      </c>
      <c r="O221" t="s">
        <v>44</v>
      </c>
      <c r="P221" s="3">
        <v>4035596.2488000002</v>
      </c>
      <c r="Q221" s="3">
        <v>4741835.6955000004</v>
      </c>
      <c r="R221" s="4">
        <v>3.39E-2</v>
      </c>
      <c r="S221" s="3">
        <f>+Tabla9[[#This Row],[SAL_PROM_SOL]]</f>
        <v>4035596.2488000002</v>
      </c>
      <c r="T221" s="4">
        <v>0.03</v>
      </c>
      <c r="U221" s="4">
        <v>3.8999999999999998E-3</v>
      </c>
      <c r="V221" s="3">
        <v>11220.6337</v>
      </c>
      <c r="W221" s="3">
        <v>9952.0604000000003</v>
      </c>
      <c r="X221" s="3">
        <v>1268.5733</v>
      </c>
      <c r="Y221" s="3">
        <v>0</v>
      </c>
      <c r="Z221" s="3">
        <v>1268.5733</v>
      </c>
      <c r="AA221">
        <v>30</v>
      </c>
      <c r="AB221" t="b">
        <f t="shared" si="191"/>
        <v>1</v>
      </c>
      <c r="AC221" s="3">
        <v>1000000</v>
      </c>
      <c r="AD221" t="s">
        <v>46</v>
      </c>
      <c r="AE221" s="8">
        <v>46155.560022106481</v>
      </c>
      <c r="AF221" s="6">
        <f t="shared" ref="AF221" si="232">S221/AC221</f>
        <v>4.0355962488000001</v>
      </c>
      <c r="AG221" s="6" t="b">
        <f>+Tabla9[[#This Row],[CUMPLIMIENTO]]&lt;100%</f>
        <v>0</v>
      </c>
      <c r="AH221" s="12">
        <f>((( (Tabla9[[#This Row],[FTP_CIERRE_MES]]/100)+1)^(30/360) -1)*(36000/30))/36000</f>
        <v>9.2680593701059222E-5</v>
      </c>
      <c r="AI221" s="3">
        <f>Tabla9[[#This Row],[FTP_DIARIO]]*Tabla9[[#This Row],[SALDO_PROM_CORREGIDO]]*Tabla9[[#This Row],[DIAS]]</f>
        <v>11220.643688296546</v>
      </c>
      <c r="AJ221" s="3">
        <f>Tabla9[[#This Row],[REAL_FTP_MONTO]]-Tabla9[[#This Row],[INT_REAL]]</f>
        <v>1268.583288296546</v>
      </c>
      <c r="AK221" s="3">
        <f>Tabla9[[#This Row],[FTP_DIARIO]]*Tabla9[[#This Row],[COMPROMISO]]*Tabla9[[#This Row],[DIAS]]</f>
        <v>2780.4178110317766</v>
      </c>
      <c r="AL221" s="13">
        <f>((( (Tabla9[[#This Row],[TASA_INT]])+1)^(30/360) -1)*(36000/30))/36000</f>
        <v>8.220899241012288E-5</v>
      </c>
      <c r="AM221" s="3">
        <f>Tabla9[[#This Row],[TEA DIARIA]]*Tabla9[[#This Row],[SALDO_PROM_CORREGIDO]]*Tabla9[[#This Row],[DIAS]]</f>
        <v>9952.8690416375885</v>
      </c>
      <c r="AN221" s="3">
        <f>Tabla9[[#This Row],[TEA DIARIA]]*Tabla9[[#This Row],[COMPROMISO]]*Tabla9[[#This Row],[DIAS]]</f>
        <v>2466.2697723036863</v>
      </c>
      <c r="AO221" s="14">
        <f>+Tabla9[[#This Row],[PROYECTADO_FTP_MONTO]]-Tabla9[[#This Row],[PROYECCION_INTERES]]</f>
        <v>314.14803872809034</v>
      </c>
      <c r="AP221" s="3">
        <f>Tabla9[[#This Row],[PROYECCION_MARGEN(FTP - Int compromiso)]]-Tabla9[[#This Row],[REAL_MARGEN(FTP - Int)]]</f>
        <v>-954.43524956845567</v>
      </c>
    </row>
    <row r="222" spans="1:42" x14ac:dyDescent="0.35">
      <c r="A222">
        <v>202604</v>
      </c>
      <c r="B222" s="7">
        <v>46142</v>
      </c>
      <c r="C222">
        <v>15388037</v>
      </c>
      <c r="D222" t="s">
        <v>42</v>
      </c>
      <c r="E222" t="s">
        <v>48</v>
      </c>
      <c r="F222" t="s">
        <v>194</v>
      </c>
      <c r="G222" t="s">
        <v>48</v>
      </c>
      <c r="H222" t="s">
        <v>526</v>
      </c>
      <c r="I222" t="s">
        <v>243</v>
      </c>
      <c r="J222" t="str">
        <f t="shared" ref="J222" si="233">IF(I222="SOLES","4.4963","3.388")</f>
        <v>4.4963</v>
      </c>
      <c r="K222" t="s">
        <v>32</v>
      </c>
      <c r="L222" t="s">
        <v>33</v>
      </c>
      <c r="M222" t="s">
        <v>31</v>
      </c>
      <c r="N222" t="s">
        <v>260</v>
      </c>
      <c r="O222" t="s">
        <v>44</v>
      </c>
      <c r="P222" s="3">
        <v>4282906.591</v>
      </c>
      <c r="Q222" s="3">
        <v>4292107.91</v>
      </c>
      <c r="R222" s="4">
        <v>4.4999999999999998E-2</v>
      </c>
      <c r="S222" s="3">
        <f>+Tabla9[[#This Row],[SAL_PROM_SOL]]</f>
        <v>4282906.591</v>
      </c>
      <c r="T222" s="4">
        <v>2.7E-2</v>
      </c>
      <c r="U222" s="4">
        <v>1.7999999999999999E-2</v>
      </c>
      <c r="V222" s="3">
        <v>15726.181399999999</v>
      </c>
      <c r="W222" s="3">
        <v>9518.6003999999994</v>
      </c>
      <c r="X222" s="3">
        <v>6207.5810000000001</v>
      </c>
      <c r="Y222" s="3">
        <v>0</v>
      </c>
      <c r="Z222" s="3">
        <v>6207.5810000000001</v>
      </c>
      <c r="AA222">
        <v>30</v>
      </c>
      <c r="AB222" t="b">
        <f t="shared" si="191"/>
        <v>1</v>
      </c>
      <c r="AC222" s="3">
        <v>3000000</v>
      </c>
      <c r="AD222" t="s">
        <v>46</v>
      </c>
      <c r="AE222" s="8">
        <v>46155.560022106481</v>
      </c>
      <c r="AF222" s="6">
        <f t="shared" ref="AF222" si="234">S222/AC222</f>
        <v>1.4276355303333332</v>
      </c>
      <c r="AG222" s="6" t="b">
        <f>+Tabla9[[#This Row],[CUMPLIMIENTO]]&lt;100%</f>
        <v>0</v>
      </c>
      <c r="AH222" s="12">
        <f>((( (Tabla9[[#This Row],[FTP_CIERRE_MES]]/100)+1)^(30/360) -1)*(36000/30))/36000</f>
        <v>1.2239493171416853E-4</v>
      </c>
      <c r="AI222" s="3">
        <f>Tabla9[[#This Row],[FTP_DIARIO]]*Tabla9[[#This Row],[SALDO_PROM_CORREGIDO]]*Tabla9[[#This Row],[DIAS]]</f>
        <v>15726.181792308218</v>
      </c>
      <c r="AJ222" s="3">
        <f>Tabla9[[#This Row],[REAL_FTP_MONTO]]-Tabla9[[#This Row],[INT_REAL]]</f>
        <v>6207.5813923082187</v>
      </c>
      <c r="AK222" s="3">
        <f>Tabla9[[#This Row],[FTP_DIARIO]]*Tabla9[[#This Row],[COMPROMISO]]*Tabla9[[#This Row],[DIAS]]</f>
        <v>11015.543854275167</v>
      </c>
      <c r="AL222" s="13">
        <f>((( (Tabla9[[#This Row],[TASA_INT]])+1)^(30/360) -1)*(36000/30))/36000</f>
        <v>7.4087576478569048E-5</v>
      </c>
      <c r="AM222" s="3">
        <f>Tabla9[[#This Row],[TEA DIARIA]]*Tabla9[[#This Row],[SALDO_PROM_CORREGIDO]]*Tabla9[[#This Row],[DIAS]]</f>
        <v>9519.3050883383985</v>
      </c>
      <c r="AN222" s="3">
        <f>Tabla9[[#This Row],[TEA DIARIA]]*Tabla9[[#This Row],[COMPROMISO]]*Tabla9[[#This Row],[DIAS]]</f>
        <v>6667.8818830712144</v>
      </c>
      <c r="AO222" s="14">
        <f>+Tabla9[[#This Row],[PROYECTADO_FTP_MONTO]]-Tabla9[[#This Row],[PROYECCION_INTERES]]</f>
        <v>4347.6619712039528</v>
      </c>
      <c r="AP222" s="3">
        <f>Tabla9[[#This Row],[PROYECCION_MARGEN(FTP - Int compromiso)]]-Tabla9[[#This Row],[REAL_MARGEN(FTP - Int)]]</f>
        <v>-1859.9194211042659</v>
      </c>
    </row>
    <row r="223" spans="1:42" x14ac:dyDescent="0.35">
      <c r="A223">
        <v>202604</v>
      </c>
      <c r="B223" s="7">
        <v>46142</v>
      </c>
      <c r="C223">
        <v>15399524</v>
      </c>
      <c r="D223" t="s">
        <v>29</v>
      </c>
      <c r="E223" t="s">
        <v>40</v>
      </c>
      <c r="F223" t="s">
        <v>195</v>
      </c>
      <c r="G223" t="s">
        <v>40</v>
      </c>
      <c r="H223" t="s">
        <v>509</v>
      </c>
      <c r="I223" t="s">
        <v>243</v>
      </c>
      <c r="J223" t="str">
        <f t="shared" ref="J223:J224" si="235">IF(I223="SOLES","4.4963","3.388")</f>
        <v>4.4963</v>
      </c>
      <c r="K223" t="s">
        <v>32</v>
      </c>
      <c r="L223" t="s">
        <v>33</v>
      </c>
      <c r="M223" t="s">
        <v>31</v>
      </c>
      <c r="N223" t="s">
        <v>433</v>
      </c>
      <c r="O223" t="s">
        <v>44</v>
      </c>
      <c r="P223" s="3">
        <v>914183.21160000004</v>
      </c>
      <c r="Q223" s="3">
        <v>275744.53999999998</v>
      </c>
      <c r="R223" s="4">
        <v>4.4999999999999998E-2</v>
      </c>
      <c r="S223" s="3">
        <f>+Tabla9[[#This Row],[SAL_PROM_SOL]]</f>
        <v>914183.21160000004</v>
      </c>
      <c r="T223" s="4">
        <v>3.9E-2</v>
      </c>
      <c r="U223" s="4">
        <v>6.0000000000000001E-3</v>
      </c>
      <c r="V223" s="3">
        <v>3356.7390999999998</v>
      </c>
      <c r="W223" s="3">
        <v>2918.9684999999999</v>
      </c>
      <c r="X223" s="3">
        <v>437.7706</v>
      </c>
      <c r="Y223" s="3">
        <v>43.9499</v>
      </c>
      <c r="Z223" s="3">
        <v>393.82069999999999</v>
      </c>
      <c r="AA223">
        <v>30</v>
      </c>
      <c r="AB223" t="b">
        <f t="shared" si="191"/>
        <v>1</v>
      </c>
      <c r="AC223" s="3">
        <v>1000000</v>
      </c>
      <c r="AD223" t="s">
        <v>46</v>
      </c>
      <c r="AE223" s="8">
        <v>46155.560022106481</v>
      </c>
      <c r="AF223" s="6">
        <f t="shared" ref="AF223" si="236">S223/AC223</f>
        <v>0.91418321160000005</v>
      </c>
      <c r="AG223" s="6" t="b">
        <f>+Tabla9[[#This Row],[CUMPLIMIENTO]]&lt;100%</f>
        <v>1</v>
      </c>
      <c r="AH223" s="12">
        <f>((( (Tabla9[[#This Row],[FTP_CIERRE_MES]]/100)+1)^(30/360) -1)*(36000/30))/36000</f>
        <v>1.2239493171416853E-4</v>
      </c>
      <c r="AI223" s="3">
        <f>Tabla9[[#This Row],[FTP_DIARIO]]*Tabla9[[#This Row],[SALDO_PROM_CORREGIDO]]*Tabla9[[#This Row],[DIAS]]</f>
        <v>3356.7417527406387</v>
      </c>
      <c r="AJ223" s="3">
        <f>Tabla9[[#This Row],[REAL_FTP_MONTO]]-Tabla9[[#This Row],[INT_REAL]]</f>
        <v>437.77325274063878</v>
      </c>
      <c r="AK223" s="3">
        <f>Tabla9[[#This Row],[FTP_DIARIO]]*Tabla9[[#This Row],[COMPROMISO]]*Tabla9[[#This Row],[DIAS]]</f>
        <v>3671.8479514250557</v>
      </c>
      <c r="AL223" s="13">
        <f>((( (Tabla9[[#This Row],[TASA_INT]])+1)^(30/360) -1)*(36000/30))/36000</f>
        <v>1.0644379359607085E-4</v>
      </c>
      <c r="AM223" s="3">
        <f>Tabla9[[#This Row],[TEA DIARIA]]*Tabla9[[#This Row],[SALDO_PROM_CORREGIDO]]*Tabla9[[#This Row],[DIAS]]</f>
        <v>2919.273872536307</v>
      </c>
      <c r="AN223" s="3">
        <f>Tabla9[[#This Row],[TEA DIARIA]]*Tabla9[[#This Row],[COMPROMISO]]*Tabla9[[#This Row],[DIAS]]</f>
        <v>3193.3138078821253</v>
      </c>
      <c r="AO223" s="14">
        <f>+Tabla9[[#This Row],[PROYECTADO_FTP_MONTO]]-Tabla9[[#This Row],[PROYECCION_INTERES]]</f>
        <v>478.53414354293045</v>
      </c>
      <c r="AP223" s="3">
        <f>Tabla9[[#This Row],[PROYECCION_MARGEN(FTP - Int compromiso)]]-Tabla9[[#This Row],[REAL_MARGEN(FTP - Int)]]</f>
        <v>40.760890802291669</v>
      </c>
    </row>
    <row r="224" spans="1:42" x14ac:dyDescent="0.35">
      <c r="A224">
        <v>202604</v>
      </c>
      <c r="B224" s="7">
        <v>46142</v>
      </c>
      <c r="C224">
        <v>15402140</v>
      </c>
      <c r="D224" t="s">
        <v>29</v>
      </c>
      <c r="E224" t="s">
        <v>35</v>
      </c>
      <c r="F224" t="s">
        <v>196</v>
      </c>
      <c r="G224" t="s">
        <v>35</v>
      </c>
      <c r="H224" t="s">
        <v>527</v>
      </c>
      <c r="I224" t="s">
        <v>243</v>
      </c>
      <c r="J224" t="str">
        <f t="shared" si="235"/>
        <v>4.4963</v>
      </c>
      <c r="K224" t="s">
        <v>32</v>
      </c>
      <c r="L224" t="s">
        <v>33</v>
      </c>
      <c r="M224" t="s">
        <v>31</v>
      </c>
      <c r="N224" t="s">
        <v>434</v>
      </c>
      <c r="O224" t="s">
        <v>44</v>
      </c>
      <c r="P224" s="3">
        <v>13020150.451099999</v>
      </c>
      <c r="Q224" s="3">
        <v>17810808.57</v>
      </c>
      <c r="R224" s="4">
        <v>4.4999999999999998E-2</v>
      </c>
      <c r="S224" s="3">
        <f>+Tabla9[[#This Row],[SAL_PROM_SOL]]</f>
        <v>13020150.451099999</v>
      </c>
      <c r="T224" s="4">
        <v>2.9000000000000001E-2</v>
      </c>
      <c r="U224" s="4">
        <v>1.6E-2</v>
      </c>
      <c r="V224" s="3">
        <v>47808.010600000001</v>
      </c>
      <c r="W224" s="3">
        <v>31078.7009</v>
      </c>
      <c r="X224" s="3">
        <v>16729.309700000002</v>
      </c>
      <c r="Y224" s="3">
        <v>43.9499</v>
      </c>
      <c r="Z224" s="3">
        <v>16685.359799999998</v>
      </c>
      <c r="AA224">
        <v>30</v>
      </c>
      <c r="AB224" t="b">
        <f t="shared" ref="AB224:AB235" si="237">+AA224=30</f>
        <v>1</v>
      </c>
      <c r="AC224" s="3">
        <v>17800000</v>
      </c>
      <c r="AD224" t="s">
        <v>45</v>
      </c>
      <c r="AE224" s="8">
        <v>46155.560022106481</v>
      </c>
      <c r="AF224" s="6">
        <f t="shared" ref="AF224" si="238">S224/AC224</f>
        <v>0.73146912646629214</v>
      </c>
      <c r="AG224" s="6" t="b">
        <f>+Tabla9[[#This Row],[CUMPLIMIENTO]]&lt;100%</f>
        <v>1</v>
      </c>
      <c r="AH224" s="12">
        <f>((( (Tabla9[[#This Row],[FTP_CIERRE_MES]]/100)+1)^(30/360) -1)*(36000/30))/36000</f>
        <v>1.2239493171416853E-4</v>
      </c>
      <c r="AI224" s="3">
        <f>Tabla9[[#This Row],[FTP_DIARIO]]*Tabla9[[#This Row],[SALDO_PROM_CORREGIDO]]*Tabla9[[#This Row],[DIAS]]</f>
        <v>47808.012761117549</v>
      </c>
      <c r="AJ224" s="3">
        <f>Tabla9[[#This Row],[REAL_FTP_MONTO]]-Tabla9[[#This Row],[INT_REAL]]</f>
        <v>16729.311861117549</v>
      </c>
      <c r="AK224" s="3">
        <f>Tabla9[[#This Row],[FTP_DIARIO]]*Tabla9[[#This Row],[COMPROMISO]]*Tabla9[[#This Row],[DIAS]]</f>
        <v>65358.893535365998</v>
      </c>
      <c r="AL224" s="13">
        <f>((( (Tabla9[[#This Row],[TASA_INT]])+1)^(30/360) -1)*(36000/30))/36000</f>
        <v>7.9504265797569748E-5</v>
      </c>
      <c r="AM224" s="3">
        <f>Tabla9[[#This Row],[TEA DIARIA]]*Tabla9[[#This Row],[SALDO_PROM_CORREGIDO]]*Tabla9[[#This Row],[DIAS]]</f>
        <v>31054.725065658058</v>
      </c>
      <c r="AN224" s="3">
        <f>Tabla9[[#This Row],[TEA DIARIA]]*Tabla9[[#This Row],[COMPROMISO]]*Tabla9[[#This Row],[DIAS]]</f>
        <v>42455.277935902246</v>
      </c>
      <c r="AO224" s="14">
        <f>+Tabla9[[#This Row],[PROYECTADO_FTP_MONTO]]-Tabla9[[#This Row],[PROYECCION_INTERES]]</f>
        <v>22903.615599463752</v>
      </c>
      <c r="AP224" s="3">
        <f>Tabla9[[#This Row],[PROYECCION_MARGEN(FTP - Int compromiso)]]-Tabla9[[#This Row],[REAL_MARGEN(FTP - Int)]]</f>
        <v>6174.3037383462033</v>
      </c>
    </row>
    <row r="225" spans="1:42" x14ac:dyDescent="0.35">
      <c r="A225">
        <v>202604</v>
      </c>
      <c r="B225" s="7">
        <v>46142</v>
      </c>
      <c r="C225">
        <v>15427725</v>
      </c>
      <c r="D225" t="s">
        <v>36</v>
      </c>
      <c r="E225" t="s">
        <v>37</v>
      </c>
      <c r="F225" t="s">
        <v>197</v>
      </c>
      <c r="G225" t="s">
        <v>37</v>
      </c>
      <c r="H225" t="s">
        <v>498</v>
      </c>
      <c r="I225" t="s">
        <v>244</v>
      </c>
      <c r="J225" t="str">
        <f t="shared" ref="J225" si="239">IF(I225="SOLES","4.4963","3.388")</f>
        <v>3.388</v>
      </c>
      <c r="K225" t="s">
        <v>32</v>
      </c>
      <c r="L225" t="s">
        <v>33</v>
      </c>
      <c r="M225" t="s">
        <v>34</v>
      </c>
      <c r="N225" t="s">
        <v>435</v>
      </c>
      <c r="O225" t="s">
        <v>44</v>
      </c>
      <c r="P225" s="3">
        <v>1650066.4952</v>
      </c>
      <c r="Q225" s="3">
        <v>507450.83740000002</v>
      </c>
      <c r="R225" s="4">
        <v>3.39E-2</v>
      </c>
      <c r="S225" s="3">
        <f>+Tabla9[[#This Row],[SAL_PROM_SOL]]</f>
        <v>1650066.4952</v>
      </c>
      <c r="T225" s="4">
        <v>3.5000000000000001E-3</v>
      </c>
      <c r="U225" s="4">
        <v>3.04E-2</v>
      </c>
      <c r="V225" s="3">
        <v>4587.8663999999999</v>
      </c>
      <c r="W225" s="3">
        <v>482.05439999999999</v>
      </c>
      <c r="X225" s="3">
        <v>4105.8119999999999</v>
      </c>
      <c r="Y225" s="3">
        <v>34.257800000000003</v>
      </c>
      <c r="Z225" s="3">
        <v>4071.5542</v>
      </c>
      <c r="AA225">
        <v>30</v>
      </c>
      <c r="AB225" t="b">
        <f t="shared" si="237"/>
        <v>1</v>
      </c>
      <c r="AC225" s="3">
        <v>15000000</v>
      </c>
      <c r="AD225" t="s">
        <v>46</v>
      </c>
      <c r="AE225" s="8">
        <v>46155.560022106481</v>
      </c>
      <c r="AF225" s="6">
        <f t="shared" ref="AF225" si="240">S225/AC225</f>
        <v>0.11000443301333333</v>
      </c>
      <c r="AG225" s="6" t="b">
        <f>+Tabla9[[#This Row],[CUMPLIMIENTO]]&lt;100%</f>
        <v>1</v>
      </c>
      <c r="AH225" s="12">
        <f>((( (Tabla9[[#This Row],[FTP_CIERRE_MES]]/100)+1)^(30/360) -1)*(36000/30))/36000</f>
        <v>9.2680593701059222E-5</v>
      </c>
      <c r="AI225" s="3">
        <f>Tabla9[[#This Row],[FTP_DIARIO]]*Tabla9[[#This Row],[SALDO_PROM_CORREGIDO]]*Tabla9[[#This Row],[DIAS]]</f>
        <v>4587.8742726408591</v>
      </c>
      <c r="AJ225" s="3">
        <f>Tabla9[[#This Row],[REAL_FTP_MONTO]]-Tabla9[[#This Row],[INT_REAL]]</f>
        <v>4105.8198726408591</v>
      </c>
      <c r="AK225" s="3">
        <f>Tabla9[[#This Row],[FTP_DIARIO]]*Tabla9[[#This Row],[COMPROMISO]]*Tabla9[[#This Row],[DIAS]]</f>
        <v>41706.267165476653</v>
      </c>
      <c r="AL225" s="13">
        <f>((( (Tabla9[[#This Row],[TASA_INT]])+1)^(30/360) -1)*(36000/30))/36000</f>
        <v>9.7066609431835826E-6</v>
      </c>
      <c r="AM225" s="3">
        <f>Tabla9[[#This Row],[TEA DIARIA]]*Tabla9[[#This Row],[SALDO_PROM_CORREGIDO]]*Tabla9[[#This Row],[DIAS]]</f>
        <v>480.49908007840975</v>
      </c>
      <c r="AN225" s="3">
        <f>Tabla9[[#This Row],[TEA DIARIA]]*Tabla9[[#This Row],[COMPROMISO]]*Tabla9[[#This Row],[DIAS]]</f>
        <v>4367.9974244326122</v>
      </c>
      <c r="AO225" s="14">
        <f>+Tabla9[[#This Row],[PROYECTADO_FTP_MONTO]]-Tabla9[[#This Row],[PROYECCION_INTERES]]</f>
        <v>37338.269741044038</v>
      </c>
      <c r="AP225" s="3">
        <f>Tabla9[[#This Row],[PROYECCION_MARGEN(FTP - Int compromiso)]]-Tabla9[[#This Row],[REAL_MARGEN(FTP - Int)]]</f>
        <v>33232.449868403179</v>
      </c>
    </row>
    <row r="226" spans="1:42" x14ac:dyDescent="0.35">
      <c r="A226">
        <v>202604</v>
      </c>
      <c r="B226" s="7">
        <v>46142</v>
      </c>
      <c r="C226">
        <v>15523992</v>
      </c>
      <c r="D226" t="s">
        <v>36</v>
      </c>
      <c r="E226" t="s">
        <v>38</v>
      </c>
      <c r="F226" t="s">
        <v>198</v>
      </c>
      <c r="G226" t="s">
        <v>38</v>
      </c>
      <c r="H226" t="s">
        <v>528</v>
      </c>
      <c r="I226" t="s">
        <v>244</v>
      </c>
      <c r="J226" t="str">
        <f t="shared" ref="J226" si="241">IF(I226="SOLES","4.4963","3.388")</f>
        <v>3.388</v>
      </c>
      <c r="K226" t="s">
        <v>32</v>
      </c>
      <c r="L226" t="s">
        <v>33</v>
      </c>
      <c r="M226" t="s">
        <v>34</v>
      </c>
      <c r="N226" t="s">
        <v>436</v>
      </c>
      <c r="O226" t="s">
        <v>44</v>
      </c>
      <c r="P226" s="3">
        <v>56440830.514899999</v>
      </c>
      <c r="Q226" s="3">
        <v>57786771.724200003</v>
      </c>
      <c r="R226" s="4">
        <v>3.39E-2</v>
      </c>
      <c r="S226" s="3">
        <f>+Tabla9[[#This Row],[SAL_PROM_SOL]]</f>
        <v>56440830.514899999</v>
      </c>
      <c r="T226" s="4">
        <v>2.9000000000000001E-2</v>
      </c>
      <c r="U226" s="4">
        <v>4.8999999999999998E-3</v>
      </c>
      <c r="V226" s="3">
        <v>156929.08230000001</v>
      </c>
      <c r="W226" s="3">
        <v>134607.90669999999</v>
      </c>
      <c r="X226" s="3">
        <v>22321.175599999999</v>
      </c>
      <c r="Y226" s="3">
        <v>36.7712</v>
      </c>
      <c r="Z226" s="3">
        <v>22284.404399999999</v>
      </c>
      <c r="AA226">
        <v>30</v>
      </c>
      <c r="AB226" t="b">
        <f t="shared" si="237"/>
        <v>1</v>
      </c>
      <c r="AC226" s="3">
        <v>16000000</v>
      </c>
      <c r="AD226" t="s">
        <v>46</v>
      </c>
      <c r="AE226" s="8">
        <v>46155.560022106481</v>
      </c>
      <c r="AF226" s="6">
        <f t="shared" ref="AF226" si="242">S226/AC226</f>
        <v>3.52755190718125</v>
      </c>
      <c r="AG226" s="6" t="b">
        <f>+Tabla9[[#This Row],[CUMPLIMIENTO]]&lt;100%</f>
        <v>0</v>
      </c>
      <c r="AH226" s="12">
        <f>((( (Tabla9[[#This Row],[FTP_CIERRE_MES]]/100)+1)^(30/360) -1)*(36000/30))/36000</f>
        <v>9.2680593701059222E-5</v>
      </c>
      <c r="AI226" s="3">
        <f>Tabla9[[#This Row],[FTP_DIARIO]]*Tabla9[[#This Row],[SALDO_PROM_CORREGIDO]]*Tabla9[[#This Row],[DIAS]]</f>
        <v>156929.09043305376</v>
      </c>
      <c r="AJ226" s="3">
        <f>Tabla9[[#This Row],[REAL_FTP_MONTO]]-Tabla9[[#This Row],[INT_REAL]]</f>
        <v>22321.183733053767</v>
      </c>
      <c r="AK226" s="3">
        <f>Tabla9[[#This Row],[FTP_DIARIO]]*Tabla9[[#This Row],[COMPROMISO]]*Tabla9[[#This Row],[DIAS]]</f>
        <v>44486.684976508426</v>
      </c>
      <c r="AL226" s="13">
        <f>((( (Tabla9[[#This Row],[TASA_INT]])+1)^(30/360) -1)*(36000/30))/36000</f>
        <v>7.9504265797569748E-5</v>
      </c>
      <c r="AM226" s="3">
        <f>Tabla9[[#This Row],[TEA DIARIA]]*Tabla9[[#This Row],[SALDO_PROM_CORREGIDO]]*Tabla9[[#This Row],[DIAS]]</f>
        <v>134618.60373276586</v>
      </c>
      <c r="AN226" s="3">
        <f>Tabla9[[#This Row],[TEA DIARIA]]*Tabla9[[#This Row],[COMPROMISO]]*Tabla9[[#This Row],[DIAS]]</f>
        <v>38162.047582833475</v>
      </c>
      <c r="AO226" s="14">
        <f>+Tabla9[[#This Row],[PROYECTADO_FTP_MONTO]]-Tabla9[[#This Row],[PROYECCION_INTERES]]</f>
        <v>6324.6373936749515</v>
      </c>
      <c r="AP226" s="3">
        <f>Tabla9[[#This Row],[PROYECCION_MARGEN(FTP - Int compromiso)]]-Tabla9[[#This Row],[REAL_MARGEN(FTP - Int)]]</f>
        <v>-15996.546339378816</v>
      </c>
    </row>
    <row r="227" spans="1:42" x14ac:dyDescent="0.35">
      <c r="A227">
        <v>202604</v>
      </c>
      <c r="B227" s="7">
        <v>46142</v>
      </c>
      <c r="C227">
        <v>15558640</v>
      </c>
      <c r="D227" t="s">
        <v>29</v>
      </c>
      <c r="E227" t="s">
        <v>40</v>
      </c>
      <c r="F227" t="s">
        <v>199</v>
      </c>
      <c r="G227" t="s">
        <v>40</v>
      </c>
      <c r="H227" t="s">
        <v>509</v>
      </c>
      <c r="I227" t="s">
        <v>243</v>
      </c>
      <c r="J227" t="str">
        <f t="shared" ref="J227" si="243">IF(I227="SOLES","4.4963","3.388")</f>
        <v>4.4963</v>
      </c>
      <c r="K227" t="s">
        <v>32</v>
      </c>
      <c r="L227" t="s">
        <v>33</v>
      </c>
      <c r="M227" t="s">
        <v>31</v>
      </c>
      <c r="N227" t="s">
        <v>437</v>
      </c>
      <c r="O227" t="s">
        <v>44</v>
      </c>
      <c r="P227" s="3">
        <v>1050625.8104000001</v>
      </c>
      <c r="Q227" s="3">
        <v>522709.51</v>
      </c>
      <c r="R227" s="4">
        <v>4.4999999999999998E-2</v>
      </c>
      <c r="S227" s="3">
        <f>+Tabla9[[#This Row],[SAL_PROM_SOL]]</f>
        <v>1050625.8104000001</v>
      </c>
      <c r="T227" s="4">
        <v>3.9E-2</v>
      </c>
      <c r="U227" s="4">
        <v>6.0000000000000001E-3</v>
      </c>
      <c r="V227" s="3">
        <v>3857.7402999999999</v>
      </c>
      <c r="W227" s="3">
        <v>3354.6284999999998</v>
      </c>
      <c r="X227" s="3">
        <v>503.11180000000002</v>
      </c>
      <c r="Y227" s="3">
        <v>43.9499</v>
      </c>
      <c r="Z227" s="3">
        <v>459.1619</v>
      </c>
      <c r="AA227">
        <v>30</v>
      </c>
      <c r="AB227" t="b">
        <f t="shared" si="237"/>
        <v>1</v>
      </c>
      <c r="AC227" s="3">
        <v>1000000</v>
      </c>
      <c r="AD227" t="s">
        <v>46</v>
      </c>
      <c r="AE227" s="8">
        <v>46155.560022106481</v>
      </c>
      <c r="AF227" s="6">
        <f t="shared" ref="AF227" si="244">S227/AC227</f>
        <v>1.0506258104000001</v>
      </c>
      <c r="AG227" s="6" t="b">
        <f>+Tabla9[[#This Row],[CUMPLIMIENTO]]&lt;100%</f>
        <v>0</v>
      </c>
      <c r="AH227" s="12">
        <f>((( (Tabla9[[#This Row],[FTP_CIERRE_MES]]/100)+1)^(30/360) -1)*(36000/30))/36000</f>
        <v>1.2239493171416853E-4</v>
      </c>
      <c r="AI227" s="3">
        <f>Tabla9[[#This Row],[FTP_DIARIO]]*Tabla9[[#This Row],[SALDO_PROM_CORREGIDO]]*Tabla9[[#This Row],[DIAS]]</f>
        <v>3857.7382296315291</v>
      </c>
      <c r="AJ227" s="3">
        <f>Tabla9[[#This Row],[REAL_FTP_MONTO]]-Tabla9[[#This Row],[INT_REAL]]</f>
        <v>503.10972963152926</v>
      </c>
      <c r="AK227" s="3">
        <f>Tabla9[[#This Row],[FTP_DIARIO]]*Tabla9[[#This Row],[COMPROMISO]]*Tabla9[[#This Row],[DIAS]]</f>
        <v>3671.8479514250557</v>
      </c>
      <c r="AL227" s="13">
        <f>((( (Tabla9[[#This Row],[TASA_INT]])+1)^(30/360) -1)*(36000/30))/36000</f>
        <v>1.0644379359607085E-4</v>
      </c>
      <c r="AM227" s="3">
        <f>Tabla9[[#This Row],[TEA DIARIA]]*Tabla9[[#This Row],[SALDO_PROM_CORREGIDO]]*Tabla9[[#This Row],[DIAS]]</f>
        <v>3354.9779072676683</v>
      </c>
      <c r="AN227" s="3">
        <f>Tabla9[[#This Row],[TEA DIARIA]]*Tabla9[[#This Row],[COMPROMISO]]*Tabla9[[#This Row],[DIAS]]</f>
        <v>3193.3138078821253</v>
      </c>
      <c r="AO227" s="14">
        <f>+Tabla9[[#This Row],[PROYECTADO_FTP_MONTO]]-Tabla9[[#This Row],[PROYECCION_INTERES]]</f>
        <v>478.53414354293045</v>
      </c>
      <c r="AP227" s="3">
        <f>Tabla9[[#This Row],[PROYECCION_MARGEN(FTP - Int compromiso)]]-Tabla9[[#This Row],[REAL_MARGEN(FTP - Int)]]</f>
        <v>-24.575586088598811</v>
      </c>
    </row>
    <row r="228" spans="1:42" x14ac:dyDescent="0.35">
      <c r="A228">
        <v>202604</v>
      </c>
      <c r="B228" s="7">
        <v>46142</v>
      </c>
      <c r="C228">
        <v>15652428</v>
      </c>
      <c r="D228" t="s">
        <v>29</v>
      </c>
      <c r="E228" t="s">
        <v>40</v>
      </c>
      <c r="F228" t="s">
        <v>200</v>
      </c>
      <c r="G228" t="s">
        <v>40</v>
      </c>
      <c r="H228" t="s">
        <v>509</v>
      </c>
      <c r="I228" t="s">
        <v>243</v>
      </c>
      <c r="J228" t="str">
        <f t="shared" ref="J228:J229" si="245">IF(I228="SOLES","4.4963","3.388")</f>
        <v>4.4963</v>
      </c>
      <c r="K228" t="s">
        <v>32</v>
      </c>
      <c r="L228" t="s">
        <v>33</v>
      </c>
      <c r="M228" t="s">
        <v>31</v>
      </c>
      <c r="N228" t="s">
        <v>290</v>
      </c>
      <c r="O228" t="s">
        <v>44</v>
      </c>
      <c r="P228" s="3">
        <v>809966.57979999995</v>
      </c>
      <c r="Q228" s="3">
        <v>293232.96000000002</v>
      </c>
      <c r="R228" s="4">
        <v>4.4999999999999998E-2</v>
      </c>
      <c r="S228" s="3">
        <f>+Tabla9[[#This Row],[SAL_PROM_SOL]]</f>
        <v>809966.57979999995</v>
      </c>
      <c r="T228" s="4">
        <v>3.9E-2</v>
      </c>
      <c r="U228" s="4">
        <v>6.0000000000000001E-3</v>
      </c>
      <c r="V228" s="3">
        <v>2974.0702999999999</v>
      </c>
      <c r="W228" s="3">
        <v>2586.2094000000002</v>
      </c>
      <c r="X228" s="3">
        <v>387.86090000000002</v>
      </c>
      <c r="Y228" s="3">
        <v>43.9499</v>
      </c>
      <c r="Z228" s="3">
        <v>343.911</v>
      </c>
      <c r="AA228">
        <v>30</v>
      </c>
      <c r="AB228" t="b">
        <f t="shared" si="237"/>
        <v>1</v>
      </c>
      <c r="AC228" s="3">
        <v>1000000</v>
      </c>
      <c r="AD228" t="s">
        <v>46</v>
      </c>
      <c r="AE228" s="8">
        <v>46155.560022106481</v>
      </c>
      <c r="AF228" s="6">
        <f t="shared" ref="AF228:AF230" si="246">S228/AC228</f>
        <v>0.80996657979999998</v>
      </c>
      <c r="AG228" s="6" t="b">
        <f>+Tabla9[[#This Row],[CUMPLIMIENTO]]&lt;100%</f>
        <v>1</v>
      </c>
      <c r="AH228" s="12">
        <f>((( (Tabla9[[#This Row],[FTP_CIERRE_MES]]/100)+1)^(30/360) -1)*(36000/30))/36000</f>
        <v>1.2239493171416853E-4</v>
      </c>
      <c r="AI228" s="3">
        <f>Tabla9[[#This Row],[FTP_DIARIO]]*Tabla9[[#This Row],[SALDO_PROM_CORREGIDO]]*Tabla9[[#This Row],[DIAS]]</f>
        <v>2974.0741267613889</v>
      </c>
      <c r="AJ228" s="3">
        <f>Tabla9[[#This Row],[REAL_FTP_MONTO]]-Tabla9[[#This Row],[INT_REAL]]</f>
        <v>387.86472676138874</v>
      </c>
      <c r="AK228" s="3">
        <f>Tabla9[[#This Row],[FTP_DIARIO]]*Tabla9[[#This Row],[COMPROMISO]]*Tabla9[[#This Row],[DIAS]]</f>
        <v>3671.8479514250557</v>
      </c>
      <c r="AL228" s="13">
        <f>((( (Tabla9[[#This Row],[TASA_INT]])+1)^(30/360) -1)*(36000/30))/36000</f>
        <v>1.0644379359607085E-4</v>
      </c>
      <c r="AM228" s="3">
        <f>Tabla9[[#This Row],[TEA DIARIA]]*Tabla9[[#This Row],[SALDO_PROM_CORREGIDO]]*Tabla9[[#This Row],[DIAS]]</f>
        <v>2586.4774631983992</v>
      </c>
      <c r="AN228" s="3">
        <f>Tabla9[[#This Row],[TEA DIARIA]]*Tabla9[[#This Row],[COMPROMISO]]*Tabla9[[#This Row],[DIAS]]</f>
        <v>3193.3138078821253</v>
      </c>
      <c r="AO228" s="14">
        <f>+Tabla9[[#This Row],[PROYECTADO_FTP_MONTO]]-Tabla9[[#This Row],[PROYECCION_INTERES]]</f>
        <v>478.53414354293045</v>
      </c>
      <c r="AP228" s="3">
        <f>Tabla9[[#This Row],[PROYECCION_MARGEN(FTP - Int compromiso)]]-Tabla9[[#This Row],[REAL_MARGEN(FTP - Int)]]</f>
        <v>90.669416781541713</v>
      </c>
    </row>
    <row r="229" spans="1:42" x14ac:dyDescent="0.35">
      <c r="A229">
        <v>202604</v>
      </c>
      <c r="B229" s="7">
        <v>46142</v>
      </c>
      <c r="C229">
        <v>15652444</v>
      </c>
      <c r="D229" t="s">
        <v>29</v>
      </c>
      <c r="E229" t="s">
        <v>40</v>
      </c>
      <c r="F229" t="s">
        <v>201</v>
      </c>
      <c r="G229" t="s">
        <v>40</v>
      </c>
      <c r="H229" t="s">
        <v>509</v>
      </c>
      <c r="I229" t="s">
        <v>243</v>
      </c>
      <c r="J229" t="str">
        <f t="shared" si="245"/>
        <v>4.4963</v>
      </c>
      <c r="K229" t="s">
        <v>32</v>
      </c>
      <c r="L229" t="s">
        <v>33</v>
      </c>
      <c r="M229" t="s">
        <v>31</v>
      </c>
      <c r="N229" t="s">
        <v>382</v>
      </c>
      <c r="O229" t="s">
        <v>44</v>
      </c>
      <c r="P229" s="3">
        <v>623936.9791</v>
      </c>
      <c r="Q229" s="3">
        <v>339667.07</v>
      </c>
      <c r="R229" s="4">
        <v>4.4999999999999998E-2</v>
      </c>
      <c r="S229" s="3">
        <f>+Tabla9[[#This Row],[SAL_PROM_SOL]]</f>
        <v>623936.9791</v>
      </c>
      <c r="T229" s="4">
        <v>3.9E-2</v>
      </c>
      <c r="U229" s="4">
        <v>6.0000000000000001E-3</v>
      </c>
      <c r="V229" s="3">
        <v>2290.9996999999998</v>
      </c>
      <c r="W229" s="3">
        <v>1992.2195999999999</v>
      </c>
      <c r="X229" s="3">
        <v>298.7801</v>
      </c>
      <c r="Y229" s="3">
        <v>43.9499</v>
      </c>
      <c r="Z229" s="3">
        <v>254.83019999999999</v>
      </c>
      <c r="AA229">
        <v>30</v>
      </c>
      <c r="AB229" t="b">
        <f t="shared" si="237"/>
        <v>1</v>
      </c>
      <c r="AC229" s="3">
        <v>1000000</v>
      </c>
      <c r="AD229" t="s">
        <v>46</v>
      </c>
      <c r="AE229" s="8">
        <v>46155.560022106481</v>
      </c>
      <c r="AF229" s="6">
        <f t="shared" si="246"/>
        <v>0.62393697910000001</v>
      </c>
      <c r="AG229" s="6" t="b">
        <f>+Tabla9[[#This Row],[CUMPLIMIENTO]]&lt;100%</f>
        <v>1</v>
      </c>
      <c r="AH229" s="12">
        <f>((( (Tabla9[[#This Row],[FTP_CIERRE_MES]]/100)+1)^(30/360) -1)*(36000/30))/36000</f>
        <v>1.2239493171416853E-4</v>
      </c>
      <c r="AI229" s="3">
        <f>Tabla9[[#This Row],[FTP_DIARIO]]*Tabla9[[#This Row],[SALDO_PROM_CORREGIDO]]*Tabla9[[#This Row],[DIAS]]</f>
        <v>2291.0017185266729</v>
      </c>
      <c r="AJ229" s="3">
        <f>Tabla9[[#This Row],[REAL_FTP_MONTO]]-Tabla9[[#This Row],[INT_REAL]]</f>
        <v>298.782118526673</v>
      </c>
      <c r="AK229" s="3">
        <f>Tabla9[[#This Row],[FTP_DIARIO]]*Tabla9[[#This Row],[COMPROMISO]]*Tabla9[[#This Row],[DIAS]]</f>
        <v>3671.8479514250557</v>
      </c>
      <c r="AL229" s="13">
        <f>((( (Tabla9[[#This Row],[TASA_INT]])+1)^(30/360) -1)*(36000/30))/36000</f>
        <v>1.0644379359607085E-4</v>
      </c>
      <c r="AM229" s="3">
        <f>Tabla9[[#This Row],[TEA DIARIA]]*Tabla9[[#This Row],[SALDO_PROM_CORREGIDO]]*Tabla9[[#This Row],[DIAS]]</f>
        <v>1992.4265706082913</v>
      </c>
      <c r="AN229" s="3">
        <f>Tabla9[[#This Row],[TEA DIARIA]]*Tabla9[[#This Row],[COMPROMISO]]*Tabla9[[#This Row],[DIAS]]</f>
        <v>3193.3138078821253</v>
      </c>
      <c r="AO229" s="14">
        <f>+Tabla9[[#This Row],[PROYECTADO_FTP_MONTO]]-Tabla9[[#This Row],[PROYECCION_INTERES]]</f>
        <v>478.53414354293045</v>
      </c>
      <c r="AP229" s="3">
        <f>Tabla9[[#This Row],[PROYECCION_MARGEN(FTP - Int compromiso)]]-Tabla9[[#This Row],[REAL_MARGEN(FTP - Int)]]</f>
        <v>179.75202501625745</v>
      </c>
    </row>
    <row r="230" spans="1:42" x14ac:dyDescent="0.35">
      <c r="A230">
        <v>202604</v>
      </c>
      <c r="B230" s="7">
        <v>46142</v>
      </c>
      <c r="C230">
        <v>15654560</v>
      </c>
      <c r="D230" t="s">
        <v>42</v>
      </c>
      <c r="E230" t="s">
        <v>48</v>
      </c>
      <c r="F230" t="s">
        <v>202</v>
      </c>
      <c r="G230" t="s">
        <v>48</v>
      </c>
      <c r="H230" t="s">
        <v>526</v>
      </c>
      <c r="I230" t="s">
        <v>244</v>
      </c>
      <c r="J230" t="str">
        <f t="shared" ref="J230" si="247">IF(I230="SOLES","4.4963","3.388")</f>
        <v>3.388</v>
      </c>
      <c r="K230" t="s">
        <v>32</v>
      </c>
      <c r="L230" t="s">
        <v>39</v>
      </c>
      <c r="M230" t="s">
        <v>34</v>
      </c>
      <c r="N230" t="s">
        <v>274</v>
      </c>
      <c r="O230" t="s">
        <v>44</v>
      </c>
      <c r="P230" s="3">
        <v>8982498.8552999999</v>
      </c>
      <c r="Q230" s="3">
        <v>8766038.4085000008</v>
      </c>
      <c r="R230" s="4">
        <v>3.39E-2</v>
      </c>
      <c r="S230" s="3">
        <f>+Tabla9[[#This Row],[SAL_PROM_SOL]]</f>
        <v>8982498.8552999999</v>
      </c>
      <c r="T230" s="4">
        <v>2.5499999999999998E-2</v>
      </c>
      <c r="U230" s="4">
        <v>8.3999999999999995E-3</v>
      </c>
      <c r="V230" s="3">
        <v>24975.108800000002</v>
      </c>
      <c r="W230" s="3">
        <v>18866.985799999999</v>
      </c>
      <c r="X230" s="3">
        <v>6108.1229999999996</v>
      </c>
      <c r="Y230" s="3">
        <v>0</v>
      </c>
      <c r="Z230" s="3">
        <v>6108.1229999999996</v>
      </c>
      <c r="AA230">
        <v>30</v>
      </c>
      <c r="AB230" t="b">
        <f t="shared" si="237"/>
        <v>1</v>
      </c>
      <c r="AC230" s="3">
        <v>1500000</v>
      </c>
      <c r="AD230" t="s">
        <v>46</v>
      </c>
      <c r="AE230" s="8">
        <v>46155.560022106481</v>
      </c>
      <c r="AF230" s="6">
        <f t="shared" si="246"/>
        <v>5.9883325701999999</v>
      </c>
      <c r="AG230" s="6" t="b">
        <f>+Tabla9[[#This Row],[CUMPLIMIENTO]]&lt;100%</f>
        <v>0</v>
      </c>
      <c r="AH230" s="12">
        <f>((( (Tabla9[[#This Row],[FTP_CIERRE_MES]]/100)+1)^(30/360) -1)*(36000/30))/36000</f>
        <v>9.2680593701059222E-5</v>
      </c>
      <c r="AI230" s="3">
        <f>Tabla9[[#This Row],[FTP_DIARIO]]*Tabla9[[#This Row],[SALDO_PROM_CORREGIDO]]*Tabla9[[#This Row],[DIAS]]</f>
        <v>24975.099804848665</v>
      </c>
      <c r="AJ230" s="3">
        <f>Tabla9[[#This Row],[REAL_FTP_MONTO]]-Tabla9[[#This Row],[INT_REAL]]</f>
        <v>6108.1140048486668</v>
      </c>
      <c r="AK230" s="3">
        <f>Tabla9[[#This Row],[FTP_DIARIO]]*Tabla9[[#This Row],[COMPROMISO]]*Tabla9[[#This Row],[DIAS]]</f>
        <v>4170.6267165476647</v>
      </c>
      <c r="AL230" s="13">
        <f>((( (Tabla9[[#This Row],[TASA_INT]])+1)^(30/360) -1)*(36000/30))/36000</f>
        <v>7.0018710171315668E-5</v>
      </c>
      <c r="AM230" s="3">
        <f>Tabla9[[#This Row],[TEA DIARIA]]*Tabla9[[#This Row],[SALDO_PROM_CORREGIDO]]*Tabla9[[#This Row],[DIAS]]</f>
        <v>18868.289518902766</v>
      </c>
      <c r="AN230" s="3">
        <f>Tabla9[[#This Row],[TEA DIARIA]]*Tabla9[[#This Row],[COMPROMISO]]*Tabla9[[#This Row],[DIAS]]</f>
        <v>3150.841957709205</v>
      </c>
      <c r="AO230" s="14">
        <f>+Tabla9[[#This Row],[PROYECTADO_FTP_MONTO]]-Tabla9[[#This Row],[PROYECCION_INTERES]]</f>
        <v>1019.7847588384598</v>
      </c>
      <c r="AP230" s="3">
        <f>Tabla9[[#This Row],[PROYECCION_MARGEN(FTP - Int compromiso)]]-Tabla9[[#This Row],[REAL_MARGEN(FTP - Int)]]</f>
        <v>-5088.3292460102075</v>
      </c>
    </row>
    <row r="231" spans="1:42" x14ac:dyDescent="0.35">
      <c r="A231">
        <v>202604</v>
      </c>
      <c r="B231" s="7">
        <v>46142</v>
      </c>
      <c r="C231">
        <v>15757193</v>
      </c>
      <c r="D231" t="s">
        <v>29</v>
      </c>
      <c r="E231" t="s">
        <v>35</v>
      </c>
      <c r="F231" t="s">
        <v>203</v>
      </c>
      <c r="G231" t="s">
        <v>35</v>
      </c>
      <c r="H231" t="s">
        <v>518</v>
      </c>
      <c r="I231" t="s">
        <v>244</v>
      </c>
      <c r="J231" t="str">
        <f t="shared" ref="J231:J232" si="248">IF(I231="SOLES","4.4963","3.388")</f>
        <v>3.388</v>
      </c>
      <c r="K231" t="s">
        <v>32</v>
      </c>
      <c r="L231" t="s">
        <v>33</v>
      </c>
      <c r="M231" t="s">
        <v>34</v>
      </c>
      <c r="N231" t="s">
        <v>438</v>
      </c>
      <c r="O231" t="s">
        <v>44</v>
      </c>
      <c r="P231" s="3">
        <v>2930920.6131000002</v>
      </c>
      <c r="Q231" s="3">
        <v>5652905.9639999997</v>
      </c>
      <c r="R231" s="4">
        <v>3.39E-2</v>
      </c>
      <c r="S231" s="3">
        <f>+Tabla9[[#This Row],[SAL_PROM_SOL]]</f>
        <v>2930920.6131000002</v>
      </c>
      <c r="T231" s="4">
        <v>0.02</v>
      </c>
      <c r="U231" s="4">
        <v>1.3899999999999999E-2</v>
      </c>
      <c r="V231" s="3">
        <v>8149.1678000000002</v>
      </c>
      <c r="W231" s="3">
        <v>4832.6637000000001</v>
      </c>
      <c r="X231" s="3">
        <v>3316.5041000000001</v>
      </c>
      <c r="Y231" s="3">
        <v>26.166799999999999</v>
      </c>
      <c r="Z231" s="3">
        <v>3290.3373000000001</v>
      </c>
      <c r="AA231">
        <v>30</v>
      </c>
      <c r="AB231" t="b">
        <f t="shared" si="237"/>
        <v>1</v>
      </c>
      <c r="AC231" s="3">
        <v>800000</v>
      </c>
      <c r="AD231" t="s">
        <v>46</v>
      </c>
      <c r="AE231" s="8">
        <v>46155.560022106481</v>
      </c>
      <c r="AF231" s="6">
        <f t="shared" ref="AF231:AF232" si="249">S231/AC231</f>
        <v>3.6636507663750004</v>
      </c>
      <c r="AG231" s="6" t="b">
        <f>+Tabla9[[#This Row],[CUMPLIMIENTO]]&lt;100%</f>
        <v>0</v>
      </c>
      <c r="AH231" s="12">
        <f>((( (Tabla9[[#This Row],[FTP_CIERRE_MES]]/100)+1)^(30/360) -1)*(36000/30))/36000</f>
        <v>9.2680593701059222E-5</v>
      </c>
      <c r="AI231" s="3">
        <f>Tabla9[[#This Row],[FTP_DIARIO]]*Tabla9[[#This Row],[SALDO_PROM_CORREGIDO]]*Tabla9[[#This Row],[DIAS]]</f>
        <v>8149.1838753834145</v>
      </c>
      <c r="AJ231" s="3">
        <f>Tabla9[[#This Row],[REAL_FTP_MONTO]]-Tabla9[[#This Row],[INT_REAL]]</f>
        <v>3316.5201753834144</v>
      </c>
      <c r="AK231" s="3">
        <f>Tabla9[[#This Row],[FTP_DIARIO]]*Tabla9[[#This Row],[COMPROMISO]]*Tabla9[[#This Row],[DIAS]]</f>
        <v>2224.3342488254211</v>
      </c>
      <c r="AL231" s="13">
        <f>((( (Tabla9[[#This Row],[TASA_INT]])+1)^(30/360) -1)*(36000/30))/36000</f>
        <v>5.5052710064007471E-5</v>
      </c>
      <c r="AM231" s="3">
        <f>Tabla9[[#This Row],[TEA DIARIA]]*Tabla9[[#This Row],[SALDO_PROM_CORREGIDO]]*Tabla9[[#This Row],[DIAS]]</f>
        <v>4840.6536820085194</v>
      </c>
      <c r="AN231" s="3">
        <f>Tabla9[[#This Row],[TEA DIARIA]]*Tabla9[[#This Row],[COMPROMISO]]*Tabla9[[#This Row],[DIAS]]</f>
        <v>1321.2650415361793</v>
      </c>
      <c r="AO231" s="14">
        <f>+Tabla9[[#This Row],[PROYECTADO_FTP_MONTO]]-Tabla9[[#This Row],[PROYECCION_INTERES]]</f>
        <v>903.06920728924183</v>
      </c>
      <c r="AP231" s="3">
        <f>Tabla9[[#This Row],[PROYECCION_MARGEN(FTP - Int compromiso)]]-Tabla9[[#This Row],[REAL_MARGEN(FTP - Int)]]</f>
        <v>-2413.4509680941728</v>
      </c>
    </row>
    <row r="232" spans="1:42" x14ac:dyDescent="0.35">
      <c r="A232">
        <v>202604</v>
      </c>
      <c r="B232" s="7">
        <v>46142</v>
      </c>
      <c r="C232">
        <v>15757193</v>
      </c>
      <c r="D232" t="s">
        <v>29</v>
      </c>
      <c r="E232" t="s">
        <v>35</v>
      </c>
      <c r="F232" t="s">
        <v>203</v>
      </c>
      <c r="G232" t="s">
        <v>35</v>
      </c>
      <c r="H232" t="s">
        <v>518</v>
      </c>
      <c r="I232" t="s">
        <v>243</v>
      </c>
      <c r="J232" t="str">
        <f t="shared" si="248"/>
        <v>4.4963</v>
      </c>
      <c r="K232" t="s">
        <v>32</v>
      </c>
      <c r="L232" t="s">
        <v>33</v>
      </c>
      <c r="M232" t="s">
        <v>31</v>
      </c>
      <c r="N232" t="s">
        <v>439</v>
      </c>
      <c r="O232" t="s">
        <v>44</v>
      </c>
      <c r="P232" s="3">
        <v>86696.709400000007</v>
      </c>
      <c r="Q232" s="3">
        <v>45814.15</v>
      </c>
      <c r="R232" s="4">
        <v>4.4999999999999998E-2</v>
      </c>
      <c r="S232" s="3">
        <f>+Tabla9[[#This Row],[SAL_PROM_SOL]]</f>
        <v>86696.709400000007</v>
      </c>
      <c r="T232" s="4">
        <v>1.2E-2</v>
      </c>
      <c r="U232" s="4">
        <v>3.3000000000000002E-2</v>
      </c>
      <c r="V232" s="3">
        <v>318.33980000000003</v>
      </c>
      <c r="W232" s="3">
        <v>85.8994</v>
      </c>
      <c r="X232" s="3">
        <v>232.44040000000001</v>
      </c>
      <c r="Y232" s="3">
        <v>17.211600000000001</v>
      </c>
      <c r="Z232" s="3">
        <v>215.22880000000001</v>
      </c>
      <c r="AA232">
        <v>30</v>
      </c>
      <c r="AB232" t="b">
        <f t="shared" si="237"/>
        <v>1</v>
      </c>
      <c r="AC232" s="3">
        <v>3000000</v>
      </c>
      <c r="AD232" t="s">
        <v>46</v>
      </c>
      <c r="AE232" s="8">
        <v>46155.560022106481</v>
      </c>
      <c r="AF232" s="6">
        <f t="shared" si="249"/>
        <v>2.8898903133333334E-2</v>
      </c>
      <c r="AG232" s="6" t="b">
        <f>+Tabla9[[#This Row],[CUMPLIMIENTO]]&lt;100%</f>
        <v>1</v>
      </c>
      <c r="AH232" s="12">
        <f>((( (Tabla9[[#This Row],[FTP_CIERRE_MES]]/100)+1)^(30/360) -1)*(36000/30))/36000</f>
        <v>1.2239493171416853E-4</v>
      </c>
      <c r="AI232" s="3">
        <f>Tabla9[[#This Row],[FTP_DIARIO]]*Tabla9[[#This Row],[SALDO_PROM_CORREGIDO]]*Tabla9[[#This Row],[DIAS]]</f>
        <v>318.33713480568338</v>
      </c>
      <c r="AJ232" s="3">
        <f>Tabla9[[#This Row],[REAL_FTP_MONTO]]-Tabla9[[#This Row],[INT_REAL]]</f>
        <v>232.43773480568336</v>
      </c>
      <c r="AK232" s="3">
        <f>Tabla9[[#This Row],[FTP_DIARIO]]*Tabla9[[#This Row],[COMPROMISO]]*Tabla9[[#This Row],[DIAS]]</f>
        <v>11015.543854275167</v>
      </c>
      <c r="AL232" s="13">
        <f>((( (Tabla9[[#This Row],[TASA_INT]])+1)^(30/360) -1)*(36000/30))/36000</f>
        <v>3.3151393371425956E-5</v>
      </c>
      <c r="AM232" s="3">
        <f>Tabla9[[#This Row],[TEA DIARIA]]*Tabla9[[#This Row],[SALDO_PROM_CORREGIDO]]*Tabla9[[#This Row],[DIAS]]</f>
        <v>86.223501519828076</v>
      </c>
      <c r="AN232" s="3">
        <f>Tabla9[[#This Row],[TEA DIARIA]]*Tabla9[[#This Row],[COMPROMISO]]*Tabla9[[#This Row],[DIAS]]</f>
        <v>2983.6254034283361</v>
      </c>
      <c r="AO232" s="14">
        <f>+Tabla9[[#This Row],[PROYECTADO_FTP_MONTO]]-Tabla9[[#This Row],[PROYECCION_INTERES]]</f>
        <v>8031.9184508468315</v>
      </c>
      <c r="AP232" s="3">
        <f>Tabla9[[#This Row],[PROYECCION_MARGEN(FTP - Int compromiso)]]-Tabla9[[#This Row],[REAL_MARGEN(FTP - Int)]]</f>
        <v>7799.4807160411483</v>
      </c>
    </row>
    <row r="233" spans="1:42" x14ac:dyDescent="0.35">
      <c r="A233">
        <v>202604</v>
      </c>
      <c r="B233" s="7">
        <v>46142</v>
      </c>
      <c r="C233">
        <v>15770378</v>
      </c>
      <c r="D233" t="s">
        <v>42</v>
      </c>
      <c r="E233" t="s">
        <v>47</v>
      </c>
      <c r="F233" t="s">
        <v>204</v>
      </c>
      <c r="G233" t="s">
        <v>47</v>
      </c>
      <c r="H233" t="s">
        <v>529</v>
      </c>
      <c r="I233" t="s">
        <v>243</v>
      </c>
      <c r="J233" t="str">
        <f t="shared" ref="J233" si="250">IF(I233="SOLES","4.4963","3.388")</f>
        <v>4.4963</v>
      </c>
      <c r="K233" t="s">
        <v>32</v>
      </c>
      <c r="L233" t="s">
        <v>33</v>
      </c>
      <c r="M233" t="s">
        <v>31</v>
      </c>
      <c r="N233" t="s">
        <v>440</v>
      </c>
      <c r="O233" t="s">
        <v>44</v>
      </c>
      <c r="P233" s="3">
        <v>2905688.6392000001</v>
      </c>
      <c r="Q233" s="3">
        <v>2358895.67</v>
      </c>
      <c r="R233" s="4">
        <v>4.4999999999999998E-2</v>
      </c>
      <c r="S233" s="3">
        <f>+Tabla9[[#This Row],[SAL_PROM_SOL]]</f>
        <v>2905688.6392000001</v>
      </c>
      <c r="T233" s="4">
        <v>2.5000000000000001E-2</v>
      </c>
      <c r="U233" s="4">
        <v>0.02</v>
      </c>
      <c r="V233" s="3">
        <v>10669.251</v>
      </c>
      <c r="W233" s="3">
        <v>5987.4906000000001</v>
      </c>
      <c r="X233" s="3">
        <v>4681.7604000000001</v>
      </c>
      <c r="Y233" s="3">
        <v>43.9499</v>
      </c>
      <c r="Z233" s="3">
        <v>4637.8104999999996</v>
      </c>
      <c r="AA233">
        <v>30</v>
      </c>
      <c r="AB233" t="b">
        <f t="shared" si="237"/>
        <v>1</v>
      </c>
      <c r="AC233" s="3">
        <v>1000000</v>
      </c>
      <c r="AD233" t="s">
        <v>46</v>
      </c>
      <c r="AE233" s="8">
        <v>46155.560022106481</v>
      </c>
      <c r="AF233" s="6">
        <f t="shared" ref="AF233" si="251">S233/AC233</f>
        <v>2.9056886392000001</v>
      </c>
      <c r="AG233" s="6" t="b">
        <f>+Tabla9[[#This Row],[CUMPLIMIENTO]]&lt;100%</f>
        <v>0</v>
      </c>
      <c r="AH233" s="12">
        <f>((( (Tabla9[[#This Row],[FTP_CIERRE_MES]]/100)+1)^(30/360) -1)*(36000/30))/36000</f>
        <v>1.2239493171416853E-4</v>
      </c>
      <c r="AI233" s="3">
        <f>Tabla9[[#This Row],[FTP_DIARIO]]*Tabla9[[#This Row],[SALDO_PROM_CORREGIDO]]*Tabla9[[#This Row],[DIAS]]</f>
        <v>10669.246877325579</v>
      </c>
      <c r="AJ233" s="3">
        <f>Tabla9[[#This Row],[REAL_FTP_MONTO]]-Tabla9[[#This Row],[INT_REAL]]</f>
        <v>4681.7562773255786</v>
      </c>
      <c r="AK233" s="3">
        <f>Tabla9[[#This Row],[FTP_DIARIO]]*Tabla9[[#This Row],[COMPROMISO]]*Tabla9[[#This Row],[DIAS]]</f>
        <v>3671.8479514250557</v>
      </c>
      <c r="AL233" s="13">
        <f>((( (Tabla9[[#This Row],[TASA_INT]])+1)^(30/360) -1)*(36000/30))/36000</f>
        <v>6.8661208994758022E-5</v>
      </c>
      <c r="AM233" s="3">
        <f>Tabla9[[#This Row],[TEA DIARIA]]*Tabla9[[#This Row],[SALDO_PROM_CORREGIDO]]*Tabla9[[#This Row],[DIAS]]</f>
        <v>5985.2428478941574</v>
      </c>
      <c r="AN233" s="3">
        <f>Tabla9[[#This Row],[TEA DIARIA]]*Tabla9[[#This Row],[COMPROMISO]]*Tabla9[[#This Row],[DIAS]]</f>
        <v>2059.8362698427409</v>
      </c>
      <c r="AO233" s="14">
        <f>+Tabla9[[#This Row],[PROYECTADO_FTP_MONTO]]-Tabla9[[#This Row],[PROYECCION_INTERES]]</f>
        <v>1612.0116815823148</v>
      </c>
      <c r="AP233" s="3">
        <f>Tabla9[[#This Row],[PROYECCION_MARGEN(FTP - Int compromiso)]]-Tabla9[[#This Row],[REAL_MARGEN(FTP - Int)]]</f>
        <v>-3069.7445957432637</v>
      </c>
    </row>
    <row r="234" spans="1:42" x14ac:dyDescent="0.35">
      <c r="A234">
        <v>202604</v>
      </c>
      <c r="B234" s="7">
        <v>46142</v>
      </c>
      <c r="C234">
        <v>15837367</v>
      </c>
      <c r="D234" t="s">
        <v>29</v>
      </c>
      <c r="E234" t="s">
        <v>30</v>
      </c>
      <c r="F234" t="s">
        <v>205</v>
      </c>
      <c r="G234" t="s">
        <v>30</v>
      </c>
      <c r="H234" t="s">
        <v>516</v>
      </c>
      <c r="I234" t="s">
        <v>244</v>
      </c>
      <c r="J234" t="str">
        <f t="shared" ref="J234:J235" si="252">IF(I234="SOLES","4.4963","3.388")</f>
        <v>3.388</v>
      </c>
      <c r="K234" t="s">
        <v>32</v>
      </c>
      <c r="L234" t="s">
        <v>33</v>
      </c>
      <c r="M234" t="s">
        <v>34</v>
      </c>
      <c r="N234" t="s">
        <v>441</v>
      </c>
      <c r="O234" t="s">
        <v>44</v>
      </c>
      <c r="P234" s="3">
        <v>1009374.8418000001</v>
      </c>
      <c r="Q234" s="3">
        <v>1394415.8692999999</v>
      </c>
      <c r="R234" s="4">
        <v>3.39E-2</v>
      </c>
      <c r="S234" s="3">
        <f>+Tabla9[[#This Row],[SAL_PROM_SOL]]</f>
        <v>1009374.8418000001</v>
      </c>
      <c r="T234" s="4">
        <v>1.6E-2</v>
      </c>
      <c r="U234" s="4">
        <v>1.7899999999999999E-2</v>
      </c>
      <c r="V234" s="3">
        <v>2806.4926</v>
      </c>
      <c r="W234" s="3">
        <v>1336.0217</v>
      </c>
      <c r="X234" s="3">
        <v>1470.4709</v>
      </c>
      <c r="Y234" s="3">
        <v>0</v>
      </c>
      <c r="Z234" s="3">
        <v>1470.4709</v>
      </c>
      <c r="AA234">
        <v>30</v>
      </c>
      <c r="AB234" t="b">
        <f t="shared" si="237"/>
        <v>1</v>
      </c>
      <c r="AC234" s="3">
        <v>200000</v>
      </c>
      <c r="AD234" t="s">
        <v>46</v>
      </c>
      <c r="AE234" s="8">
        <v>46155.560022106481</v>
      </c>
      <c r="AF234" s="6">
        <f t="shared" ref="AF234:AF235" si="253">S234/AC234</f>
        <v>5.0468742090000003</v>
      </c>
      <c r="AG234" s="6" t="b">
        <f>+Tabla9[[#This Row],[CUMPLIMIENTO]]&lt;100%</f>
        <v>0</v>
      </c>
      <c r="AH234" s="12">
        <f>((( (Tabla9[[#This Row],[FTP_CIERRE_MES]]/100)+1)^(30/360) -1)*(36000/30))/36000</f>
        <v>9.2680593701059222E-5</v>
      </c>
      <c r="AI234" s="3">
        <f>Tabla9[[#This Row],[FTP_DIARIO]]*Tabla9[[#This Row],[SALDO_PROM_CORREGIDO]]*Tabla9[[#This Row],[DIAS]]</f>
        <v>2806.4837881481017</v>
      </c>
      <c r="AJ234" s="3">
        <f>Tabla9[[#This Row],[REAL_FTP_MONTO]]-Tabla9[[#This Row],[INT_REAL]]</f>
        <v>1470.4620881481017</v>
      </c>
      <c r="AK234" s="3">
        <f>Tabla9[[#This Row],[FTP_DIARIO]]*Tabla9[[#This Row],[COMPROMISO]]*Tabla9[[#This Row],[DIAS]]</f>
        <v>556.08356220635528</v>
      </c>
      <c r="AL234" s="13">
        <f>((( (Tabla9[[#This Row],[TASA_INT]])+1)^(30/360) -1)*(36000/30))/36000</f>
        <v>4.412181181694397E-5</v>
      </c>
      <c r="AM234" s="3">
        <f>Tabla9[[#This Row],[TEA DIARIA]]*Tabla9[[#This Row],[SALDO_PROM_CORREGIDO]]*Tabla9[[#This Row],[DIAS]]</f>
        <v>1336.0634046797159</v>
      </c>
      <c r="AN234" s="3">
        <f>Tabla9[[#This Row],[TEA DIARIA]]*Tabla9[[#This Row],[COMPROMISO]]*Tabla9[[#This Row],[DIAS]]</f>
        <v>264.73087090166382</v>
      </c>
      <c r="AO234" s="14">
        <f>+Tabla9[[#This Row],[PROYECTADO_FTP_MONTO]]-Tabla9[[#This Row],[PROYECCION_INTERES]]</f>
        <v>291.35269130469146</v>
      </c>
      <c r="AP234" s="3">
        <f>Tabla9[[#This Row],[PROYECCION_MARGEN(FTP - Int compromiso)]]-Tabla9[[#This Row],[REAL_MARGEN(FTP - Int)]]</f>
        <v>-1179.1093968434102</v>
      </c>
    </row>
    <row r="235" spans="1:42" x14ac:dyDescent="0.35">
      <c r="A235">
        <v>202604</v>
      </c>
      <c r="B235" s="7">
        <v>46142</v>
      </c>
      <c r="C235">
        <v>15837367</v>
      </c>
      <c r="D235" t="s">
        <v>29</v>
      </c>
      <c r="E235" t="s">
        <v>30</v>
      </c>
      <c r="F235" t="s">
        <v>205</v>
      </c>
      <c r="G235" t="s">
        <v>30</v>
      </c>
      <c r="H235" t="s">
        <v>516</v>
      </c>
      <c r="I235" t="s">
        <v>243</v>
      </c>
      <c r="J235" t="str">
        <f t="shared" si="252"/>
        <v>4.4963</v>
      </c>
      <c r="K235" t="s">
        <v>32</v>
      </c>
      <c r="L235" t="s">
        <v>33</v>
      </c>
      <c r="M235" t="s">
        <v>31</v>
      </c>
      <c r="N235" t="s">
        <v>442</v>
      </c>
      <c r="O235" t="s">
        <v>44</v>
      </c>
      <c r="P235" s="3">
        <v>5280611.8284</v>
      </c>
      <c r="Q235" s="3">
        <v>6807599.0800000001</v>
      </c>
      <c r="R235" s="4">
        <v>4.4999999999999998E-2</v>
      </c>
      <c r="S235" s="3">
        <f>+Tabla9[[#This Row],[SAL_PROM_SOL]]</f>
        <v>5280611.8284</v>
      </c>
      <c r="T235" s="4">
        <v>1.7500000000000002E-2</v>
      </c>
      <c r="U235" s="4">
        <v>2.75E-2</v>
      </c>
      <c r="V235" s="3">
        <v>19389.5988</v>
      </c>
      <c r="W235" s="3">
        <v>7649.0789999999997</v>
      </c>
      <c r="X235" s="3">
        <v>11740.5198</v>
      </c>
      <c r="Y235" s="3">
        <v>0</v>
      </c>
      <c r="Z235" s="3">
        <v>11740.5198</v>
      </c>
      <c r="AA235">
        <v>30</v>
      </c>
      <c r="AB235" t="b">
        <f t="shared" si="237"/>
        <v>1</v>
      </c>
      <c r="AC235" s="3">
        <v>3000000</v>
      </c>
      <c r="AD235" t="s">
        <v>46</v>
      </c>
      <c r="AE235" s="8">
        <v>46155.560022106481</v>
      </c>
      <c r="AF235" s="6">
        <f t="shared" si="253"/>
        <v>1.7602039428</v>
      </c>
      <c r="AG235" s="6" t="b">
        <f>+Tabla9[[#This Row],[CUMPLIMIENTO]]&lt;100%</f>
        <v>0</v>
      </c>
      <c r="AH235" s="12">
        <f>((( (Tabla9[[#This Row],[FTP_CIERRE_MES]]/100)+1)^(30/360) -1)*(36000/30))/36000</f>
        <v>1.2239493171416853E-4</v>
      </c>
      <c r="AI235" s="3">
        <f>Tabla9[[#This Row],[FTP_DIARIO]]*Tabla9[[#This Row],[SALDO_PROM_CORREGIDO]]*Tabla9[[#This Row],[DIAS]]</f>
        <v>19389.603724381457</v>
      </c>
      <c r="AJ235" s="3">
        <f>Tabla9[[#This Row],[REAL_FTP_MONTO]]-Tabla9[[#This Row],[INT_REAL]]</f>
        <v>11740.524724381457</v>
      </c>
      <c r="AK235" s="3">
        <f>Tabla9[[#This Row],[FTP_DIARIO]]*Tabla9[[#This Row],[COMPROMISO]]*Tabla9[[#This Row],[DIAS]]</f>
        <v>11015.543854275167</v>
      </c>
      <c r="AL235" s="13">
        <f>((( (Tabla9[[#This Row],[TASA_INT]])+1)^(30/360) -1)*(36000/30))/36000</f>
        <v>4.8225513932546409E-5</v>
      </c>
      <c r="AM235" s="3">
        <f>Tabla9[[#This Row],[TEA DIARIA]]*Tabla9[[#This Row],[SALDO_PROM_CORREGIDO]]*Tabla9[[#This Row],[DIAS]]</f>
        <v>7639.8065790862074</v>
      </c>
      <c r="AN235" s="3">
        <f>Tabla9[[#This Row],[TEA DIARIA]]*Tabla9[[#This Row],[COMPROMISO]]*Tabla9[[#This Row],[DIAS]]</f>
        <v>4340.2962539291766</v>
      </c>
      <c r="AO235" s="14">
        <f>+Tabla9[[#This Row],[PROYECTADO_FTP_MONTO]]-Tabla9[[#This Row],[PROYECCION_INTERES]]</f>
        <v>6675.2476003459906</v>
      </c>
      <c r="AP235" s="3">
        <f>Tabla9[[#This Row],[PROYECCION_MARGEN(FTP - Int compromiso)]]-Tabla9[[#This Row],[REAL_MARGEN(FTP - Int)]]</f>
        <v>-5065.2771240354668</v>
      </c>
    </row>
    <row r="236" spans="1:42" x14ac:dyDescent="0.35">
      <c r="A236">
        <v>202604</v>
      </c>
      <c r="B236" s="7">
        <v>46142</v>
      </c>
      <c r="C236">
        <v>15920806</v>
      </c>
      <c r="D236" t="s">
        <v>29</v>
      </c>
      <c r="E236" t="s">
        <v>30</v>
      </c>
      <c r="F236" t="s">
        <v>206</v>
      </c>
      <c r="G236" t="s">
        <v>30</v>
      </c>
      <c r="H236" t="s">
        <v>516</v>
      </c>
      <c r="I236" t="s">
        <v>244</v>
      </c>
      <c r="J236" t="str">
        <f t="shared" ref="J236:J237" si="254">IF(I236="SOLES","4.4963","3.388")</f>
        <v>3.388</v>
      </c>
      <c r="K236" t="s">
        <v>32</v>
      </c>
      <c r="L236" t="s">
        <v>33</v>
      </c>
      <c r="M236" t="s">
        <v>34</v>
      </c>
      <c r="N236" t="s">
        <v>443</v>
      </c>
      <c r="O236" t="s">
        <v>44</v>
      </c>
      <c r="P236" s="3">
        <v>2246840.0669999998</v>
      </c>
      <c r="Q236" s="3">
        <v>590158.64919999999</v>
      </c>
      <c r="R236" s="4">
        <v>3.39E-2</v>
      </c>
      <c r="S236" s="3">
        <f>+Tabla9[[#This Row],[SAL_PROM_SOL]]</f>
        <v>2246840.0669999998</v>
      </c>
      <c r="T236" s="4">
        <v>2.75E-2</v>
      </c>
      <c r="U236" s="4">
        <v>6.4000000000000003E-3</v>
      </c>
      <c r="V236" s="3">
        <v>6247.1513999999997</v>
      </c>
      <c r="W236" s="3">
        <v>5084.8289999999997</v>
      </c>
      <c r="X236" s="3">
        <v>1162.3224</v>
      </c>
      <c r="Y236" s="3">
        <v>0</v>
      </c>
      <c r="Z236" s="3">
        <v>1162.3224</v>
      </c>
      <c r="AA236">
        <v>30</v>
      </c>
      <c r="AB236" t="b">
        <f t="shared" ref="AB236:AB240" si="255">+AA236=30</f>
        <v>1</v>
      </c>
      <c r="AC236" s="3">
        <v>300000</v>
      </c>
      <c r="AD236" t="s">
        <v>46</v>
      </c>
      <c r="AE236" s="8">
        <v>46155.560022106481</v>
      </c>
      <c r="AF236" s="6">
        <f t="shared" ref="AF236:AF240" si="256">S236/AC236</f>
        <v>7.4894668899999992</v>
      </c>
      <c r="AG236" s="6" t="b">
        <f>+Tabla9[[#This Row],[CUMPLIMIENTO]]&lt;100%</f>
        <v>0</v>
      </c>
      <c r="AH236" s="12">
        <f>((( (Tabla9[[#This Row],[FTP_CIERRE_MES]]/100)+1)^(30/360) -1)*(36000/30))/36000</f>
        <v>9.2680593701059222E-5</v>
      </c>
      <c r="AI236" s="3">
        <f>Tabla9[[#This Row],[FTP_DIARIO]]*Tabla9[[#This Row],[SALDO_PROM_CORREGIDO]]*Tabla9[[#This Row],[DIAS]]</f>
        <v>6247.1541408266303</v>
      </c>
      <c r="AJ236" s="3">
        <f>Tabla9[[#This Row],[REAL_FTP_MONTO]]-Tabla9[[#This Row],[INT_REAL]]</f>
        <v>1162.3251408266306</v>
      </c>
      <c r="AK236" s="3">
        <f>Tabla9[[#This Row],[FTP_DIARIO]]*Tabla9[[#This Row],[COMPROMISO]]*Tabla9[[#This Row],[DIAS]]</f>
        <v>834.12534330953304</v>
      </c>
      <c r="AL236" s="13">
        <f>((( (Tabla9[[#This Row],[TASA_INT]])+1)^(30/360) -1)*(36000/30))/36000</f>
        <v>7.5442654725669609E-5</v>
      </c>
      <c r="AM236" s="3">
        <f>Tabla9[[#This Row],[TEA DIARIA]]*Tabla9[[#This Row],[SALDO_PROM_CORREGIDO]]*Tabla9[[#This Row],[DIAS]]</f>
        <v>5085.2273819544407</v>
      </c>
      <c r="AN236" s="3">
        <f>Tabla9[[#This Row],[TEA DIARIA]]*Tabla9[[#This Row],[COMPROMISO]]*Tabla9[[#This Row],[DIAS]]</f>
        <v>678.98389253102641</v>
      </c>
      <c r="AO236" s="14">
        <f>+Tabla9[[#This Row],[PROYECTADO_FTP_MONTO]]-Tabla9[[#This Row],[PROYECCION_INTERES]]</f>
        <v>155.14145077850662</v>
      </c>
      <c r="AP236" s="3">
        <f>Tabla9[[#This Row],[PROYECCION_MARGEN(FTP - Int compromiso)]]-Tabla9[[#This Row],[REAL_MARGEN(FTP - Int)]]</f>
        <v>-1007.1836900481239</v>
      </c>
    </row>
    <row r="237" spans="1:42" x14ac:dyDescent="0.35">
      <c r="A237">
        <v>202604</v>
      </c>
      <c r="B237" s="7">
        <v>46142</v>
      </c>
      <c r="C237">
        <v>15920806</v>
      </c>
      <c r="D237" t="s">
        <v>29</v>
      </c>
      <c r="E237" t="s">
        <v>30</v>
      </c>
      <c r="F237" t="s">
        <v>206</v>
      </c>
      <c r="G237" t="s">
        <v>30</v>
      </c>
      <c r="H237" t="s">
        <v>516</v>
      </c>
      <c r="I237" t="s">
        <v>244</v>
      </c>
      <c r="J237" t="str">
        <f t="shared" si="254"/>
        <v>3.388</v>
      </c>
      <c r="K237" t="s">
        <v>32</v>
      </c>
      <c r="L237" t="s">
        <v>33</v>
      </c>
      <c r="M237" t="s">
        <v>34</v>
      </c>
      <c r="N237" t="s">
        <v>359</v>
      </c>
      <c r="O237" t="s">
        <v>44</v>
      </c>
      <c r="P237" s="3">
        <v>642547.60259999998</v>
      </c>
      <c r="Q237" s="3">
        <v>470245.93640000001</v>
      </c>
      <c r="R237" s="4">
        <v>3.39E-2</v>
      </c>
      <c r="S237" s="3">
        <f>+Tabla9[[#This Row],[SAL_PROM_SOL]]</f>
        <v>642547.60259999998</v>
      </c>
      <c r="T237" s="4">
        <v>2.75E-2</v>
      </c>
      <c r="U237" s="4">
        <v>6.4000000000000003E-3</v>
      </c>
      <c r="V237" s="3">
        <v>1786.5382999999999</v>
      </c>
      <c r="W237" s="3">
        <v>1454.1510000000001</v>
      </c>
      <c r="X237" s="3">
        <v>332.38729999999998</v>
      </c>
      <c r="Y237" s="3">
        <v>0</v>
      </c>
      <c r="Z237" s="3">
        <v>332.38729999999998</v>
      </c>
      <c r="AA237">
        <v>30</v>
      </c>
      <c r="AB237" t="b">
        <f t="shared" si="255"/>
        <v>1</v>
      </c>
      <c r="AC237" s="3">
        <v>40000</v>
      </c>
      <c r="AD237" t="s">
        <v>46</v>
      </c>
      <c r="AE237" s="8">
        <v>46155.560022106481</v>
      </c>
      <c r="AF237" s="6">
        <f t="shared" si="256"/>
        <v>16.063690064999999</v>
      </c>
      <c r="AG237" s="6" t="b">
        <f>+Tabla9[[#This Row],[CUMPLIMIENTO]]&lt;100%</f>
        <v>0</v>
      </c>
      <c r="AH237" s="12">
        <f>((( (Tabla9[[#This Row],[FTP_CIERRE_MES]]/100)+1)^(30/360) -1)*(36000/30))/36000</f>
        <v>9.2680593701059222E-5</v>
      </c>
      <c r="AI237" s="3">
        <f>Tabla9[[#This Row],[FTP_DIARIO]]*Tabla9[[#This Row],[SALDO_PROM_CORREGIDO]]*Tabla9[[#This Row],[DIAS]]</f>
        <v>1786.5507987048079</v>
      </c>
      <c r="AJ237" s="3">
        <f>Tabla9[[#This Row],[REAL_FTP_MONTO]]-Tabla9[[#This Row],[INT_REAL]]</f>
        <v>332.39979870480784</v>
      </c>
      <c r="AK237" s="3">
        <f>Tabla9[[#This Row],[FTP_DIARIO]]*Tabla9[[#This Row],[COMPROMISO]]*Tabla9[[#This Row],[DIAS]]</f>
        <v>111.21671244127107</v>
      </c>
      <c r="AL237" s="13">
        <f>((( (Tabla9[[#This Row],[TASA_INT]])+1)^(30/360) -1)*(36000/30))/36000</f>
        <v>7.5442654725669609E-5</v>
      </c>
      <c r="AM237" s="3">
        <f>Tabla9[[#This Row],[TEA DIARIA]]*Tabla9[[#This Row],[SALDO_PROM_CORREGIDO]]*Tabla9[[#This Row],[DIAS]]</f>
        <v>1454.264907832757</v>
      </c>
      <c r="AN237" s="3">
        <f>Tabla9[[#This Row],[TEA DIARIA]]*Tabla9[[#This Row],[COMPROMISO]]*Tabla9[[#This Row],[DIAS]]</f>
        <v>90.531185670803538</v>
      </c>
      <c r="AO237" s="14">
        <f>+Tabla9[[#This Row],[PROYECTADO_FTP_MONTO]]-Tabla9[[#This Row],[PROYECCION_INTERES]]</f>
        <v>20.685526770467533</v>
      </c>
      <c r="AP237" s="3">
        <f>Tabla9[[#This Row],[PROYECCION_MARGEN(FTP - Int compromiso)]]-Tabla9[[#This Row],[REAL_MARGEN(FTP - Int)]]</f>
        <v>-311.71427193434033</v>
      </c>
    </row>
    <row r="238" spans="1:42" x14ac:dyDescent="0.35">
      <c r="A238">
        <v>202604</v>
      </c>
      <c r="B238" s="7">
        <v>46142</v>
      </c>
      <c r="C238">
        <v>15920806</v>
      </c>
      <c r="D238" t="s">
        <v>29</v>
      </c>
      <c r="E238" t="s">
        <v>30</v>
      </c>
      <c r="F238" t="s">
        <v>206</v>
      </c>
      <c r="G238" t="s">
        <v>30</v>
      </c>
      <c r="H238" t="s">
        <v>516</v>
      </c>
      <c r="I238" t="s">
        <v>243</v>
      </c>
      <c r="J238" t="str">
        <f t="shared" ref="J238:J240" si="257">IF(I238="SOLES","4.4963","3.388")</f>
        <v>4.4963</v>
      </c>
      <c r="K238" t="s">
        <v>32</v>
      </c>
      <c r="L238" t="s">
        <v>33</v>
      </c>
      <c r="M238" t="s">
        <v>31</v>
      </c>
      <c r="N238" t="s">
        <v>315</v>
      </c>
      <c r="O238" t="s">
        <v>44</v>
      </c>
      <c r="P238" s="3">
        <v>4448852.3808000004</v>
      </c>
      <c r="Q238" s="3">
        <v>6705354.1299999999</v>
      </c>
      <c r="R238" s="4">
        <v>4.4999999999999998E-2</v>
      </c>
      <c r="S238" s="3">
        <f>+Tabla9[[#This Row],[SAL_PROM_SOL]]</f>
        <v>4448852.3808000004</v>
      </c>
      <c r="T238" s="4">
        <v>3.3500000000000002E-2</v>
      </c>
      <c r="U238" s="4">
        <v>1.15E-2</v>
      </c>
      <c r="V238" s="3">
        <v>16335.5098</v>
      </c>
      <c r="W238" s="3">
        <v>12231.891</v>
      </c>
      <c r="X238" s="3">
        <v>4103.6188000000002</v>
      </c>
      <c r="Y238" s="3">
        <v>0</v>
      </c>
      <c r="Z238" s="3">
        <v>4103.6188000000002</v>
      </c>
      <c r="AA238">
        <v>30</v>
      </c>
      <c r="AB238" t="b">
        <f t="shared" si="255"/>
        <v>1</v>
      </c>
      <c r="AC238" s="3">
        <v>7000000</v>
      </c>
      <c r="AD238" t="s">
        <v>46</v>
      </c>
      <c r="AE238" s="8">
        <v>46155.560022106481</v>
      </c>
      <c r="AF238" s="6">
        <f t="shared" si="256"/>
        <v>0.63555034011428579</v>
      </c>
      <c r="AG238" s="6" t="b">
        <f>+Tabla9[[#This Row],[CUMPLIMIENTO]]&lt;100%</f>
        <v>1</v>
      </c>
      <c r="AH238" s="12">
        <f>((( (Tabla9[[#This Row],[FTP_CIERRE_MES]]/100)+1)^(30/360) -1)*(36000/30))/36000</f>
        <v>1.2239493171416853E-4</v>
      </c>
      <c r="AI238" s="3">
        <f>Tabla9[[#This Row],[FTP_DIARIO]]*Tabla9[[#This Row],[SALDO_PROM_CORREGIDO]]*Tabla9[[#This Row],[DIAS]]</f>
        <v>16335.509500632963</v>
      </c>
      <c r="AJ238" s="3">
        <f>Tabla9[[#This Row],[REAL_FTP_MONTO]]-Tabla9[[#This Row],[INT_REAL]]</f>
        <v>4103.6185006329633</v>
      </c>
      <c r="AK238" s="3">
        <f>Tabla9[[#This Row],[FTP_DIARIO]]*Tabla9[[#This Row],[COMPROMISO]]*Tabla9[[#This Row],[DIAS]]</f>
        <v>25702.935659975392</v>
      </c>
      <c r="AL238" s="13">
        <f>((( (Tabla9[[#This Row],[TASA_INT]])+1)^(30/360) -1)*(36000/30))/36000</f>
        <v>9.1656617228519371E-5</v>
      </c>
      <c r="AM238" s="3">
        <f>Tabla9[[#This Row],[TEA DIARIA]]*Tabla9[[#This Row],[SALDO_PROM_CORREGIDO]]*Tabla9[[#This Row],[DIAS]]</f>
        <v>12233.002793195183</v>
      </c>
      <c r="AN238" s="3">
        <f>Tabla9[[#This Row],[TEA DIARIA]]*Tabla9[[#This Row],[COMPROMISO]]*Tabla9[[#This Row],[DIAS]]</f>
        <v>19247.889617989069</v>
      </c>
      <c r="AO238" s="14">
        <f>+Tabla9[[#This Row],[PROYECTADO_FTP_MONTO]]-Tabla9[[#This Row],[PROYECCION_INTERES]]</f>
        <v>6455.046041986323</v>
      </c>
      <c r="AP238" s="3">
        <f>Tabla9[[#This Row],[PROYECCION_MARGEN(FTP - Int compromiso)]]-Tabla9[[#This Row],[REAL_MARGEN(FTP - Int)]]</f>
        <v>2351.4275413533596</v>
      </c>
    </row>
    <row r="239" spans="1:42" x14ac:dyDescent="0.35">
      <c r="A239">
        <v>202604</v>
      </c>
      <c r="B239" s="7">
        <v>46142</v>
      </c>
      <c r="C239">
        <v>15920806</v>
      </c>
      <c r="D239" t="s">
        <v>29</v>
      </c>
      <c r="E239" t="s">
        <v>30</v>
      </c>
      <c r="F239" t="s">
        <v>206</v>
      </c>
      <c r="G239" t="s">
        <v>30</v>
      </c>
      <c r="H239" t="s">
        <v>516</v>
      </c>
      <c r="I239" t="s">
        <v>243</v>
      </c>
      <c r="J239" t="str">
        <f t="shared" si="257"/>
        <v>4.4963</v>
      </c>
      <c r="K239" t="s">
        <v>32</v>
      </c>
      <c r="L239" t="s">
        <v>33</v>
      </c>
      <c r="M239" t="s">
        <v>31</v>
      </c>
      <c r="N239" t="s">
        <v>444</v>
      </c>
      <c r="O239" t="s">
        <v>44</v>
      </c>
      <c r="P239" s="3">
        <v>156176.69039999999</v>
      </c>
      <c r="Q239" s="3">
        <v>145299.48000000001</v>
      </c>
      <c r="R239" s="4">
        <v>4.4999999999999998E-2</v>
      </c>
      <c r="S239" s="3">
        <f>+Tabla9[[#This Row],[SAL_PROM_SOL]]</f>
        <v>156176.69039999999</v>
      </c>
      <c r="T239" s="4">
        <v>3.3500000000000002E-2</v>
      </c>
      <c r="U239" s="4">
        <v>1.15E-2</v>
      </c>
      <c r="V239" s="3">
        <v>573.45920000000001</v>
      </c>
      <c r="W239" s="3">
        <v>429.4006</v>
      </c>
      <c r="X239" s="3">
        <v>144.05860000000001</v>
      </c>
      <c r="Y239" s="3">
        <v>43.9499</v>
      </c>
      <c r="Z239" s="3">
        <v>100.1087</v>
      </c>
      <c r="AA239">
        <v>30</v>
      </c>
      <c r="AB239" t="b">
        <f t="shared" si="255"/>
        <v>1</v>
      </c>
      <c r="AC239" s="3">
        <v>50000</v>
      </c>
      <c r="AD239" t="s">
        <v>46</v>
      </c>
      <c r="AE239" s="8">
        <v>46155.560022106481</v>
      </c>
      <c r="AF239" s="6">
        <f t="shared" si="256"/>
        <v>3.1235338079999999</v>
      </c>
      <c r="AG239" s="6" t="b">
        <f>+Tabla9[[#This Row],[CUMPLIMIENTO]]&lt;100%</f>
        <v>0</v>
      </c>
      <c r="AH239" s="12">
        <f>((( (Tabla9[[#This Row],[FTP_CIERRE_MES]]/100)+1)^(30/360) -1)*(36000/30))/36000</f>
        <v>1.2239493171416853E-4</v>
      </c>
      <c r="AI239" s="3">
        <f>Tabla9[[#This Row],[FTP_DIARIO]]*Tabla9[[#This Row],[SALDO_PROM_CORREGIDO]]*Tabla9[[#This Row],[DIAS]]</f>
        <v>573.45706070558515</v>
      </c>
      <c r="AJ239" s="3">
        <f>Tabla9[[#This Row],[REAL_FTP_MONTO]]-Tabla9[[#This Row],[INT_REAL]]</f>
        <v>144.05646070558515</v>
      </c>
      <c r="AK239" s="3">
        <f>Tabla9[[#This Row],[FTP_DIARIO]]*Tabla9[[#This Row],[COMPROMISO]]*Tabla9[[#This Row],[DIAS]]</f>
        <v>183.59239757125277</v>
      </c>
      <c r="AL239" s="13">
        <f>((( (Tabla9[[#This Row],[TASA_INT]])+1)^(30/360) -1)*(36000/30))/36000</f>
        <v>9.1656617228519371E-5</v>
      </c>
      <c r="AM239" s="3">
        <f>Tabla9[[#This Row],[TEA DIARIA]]*Tabla9[[#This Row],[SALDO_PROM_CORREGIDO]]*Tabla9[[#This Row],[DIAS]]</f>
        <v>429.43881396029326</v>
      </c>
      <c r="AN239" s="3">
        <f>Tabla9[[#This Row],[TEA DIARIA]]*Tabla9[[#This Row],[COMPROMISO]]*Tabla9[[#This Row],[DIAS]]</f>
        <v>137.48492584277903</v>
      </c>
      <c r="AO239" s="14">
        <f>+Tabla9[[#This Row],[PROYECTADO_FTP_MONTO]]-Tabla9[[#This Row],[PROYECCION_INTERES]]</f>
        <v>46.10747172847374</v>
      </c>
      <c r="AP239" s="3">
        <f>Tabla9[[#This Row],[PROYECCION_MARGEN(FTP - Int compromiso)]]-Tabla9[[#This Row],[REAL_MARGEN(FTP - Int)]]</f>
        <v>-97.948988977111412</v>
      </c>
    </row>
    <row r="240" spans="1:42" x14ac:dyDescent="0.35">
      <c r="A240">
        <v>202604</v>
      </c>
      <c r="B240" s="7">
        <v>46142</v>
      </c>
      <c r="C240">
        <v>15920806</v>
      </c>
      <c r="D240" t="s">
        <v>29</v>
      </c>
      <c r="E240" t="s">
        <v>30</v>
      </c>
      <c r="F240" t="s">
        <v>206</v>
      </c>
      <c r="G240" t="s">
        <v>30</v>
      </c>
      <c r="H240" t="s">
        <v>516</v>
      </c>
      <c r="I240" t="s">
        <v>243</v>
      </c>
      <c r="J240" t="str">
        <f t="shared" si="257"/>
        <v>4.4963</v>
      </c>
      <c r="K240" t="s">
        <v>32</v>
      </c>
      <c r="L240" t="s">
        <v>39</v>
      </c>
      <c r="M240" t="s">
        <v>31</v>
      </c>
      <c r="N240" t="s">
        <v>445</v>
      </c>
      <c r="O240" t="s">
        <v>44</v>
      </c>
      <c r="P240" s="3">
        <v>970266.56909999996</v>
      </c>
      <c r="Q240" s="3">
        <v>855840.68</v>
      </c>
      <c r="R240" s="4">
        <v>4.4999999999999998E-2</v>
      </c>
      <c r="S240" s="3">
        <f>+Tabla9[[#This Row],[SAL_PROM_SOL]]</f>
        <v>970266.56909999996</v>
      </c>
      <c r="T240" s="4">
        <v>3.3500000000000002E-2</v>
      </c>
      <c r="U240" s="4">
        <v>1.15E-2</v>
      </c>
      <c r="V240" s="3">
        <v>3562.6684</v>
      </c>
      <c r="W240" s="3">
        <v>2667.6914999999999</v>
      </c>
      <c r="X240" s="3">
        <v>894.9769</v>
      </c>
      <c r="Y240" s="3">
        <v>0</v>
      </c>
      <c r="Z240" s="3">
        <v>894.9769</v>
      </c>
      <c r="AA240">
        <v>30</v>
      </c>
      <c r="AB240" t="b">
        <f t="shared" si="255"/>
        <v>1</v>
      </c>
      <c r="AC240" s="3">
        <v>50000</v>
      </c>
      <c r="AD240" t="s">
        <v>46</v>
      </c>
      <c r="AE240" s="8">
        <v>46155.560022106481</v>
      </c>
      <c r="AF240" s="6">
        <f t="shared" si="256"/>
        <v>19.405331382</v>
      </c>
      <c r="AG240" s="6" t="b">
        <f>+Tabla9[[#This Row],[CUMPLIMIENTO]]&lt;100%</f>
        <v>0</v>
      </c>
      <c r="AH240" s="12">
        <f>((( (Tabla9[[#This Row],[FTP_CIERRE_MES]]/100)+1)^(30/360) -1)*(36000/30))/36000</f>
        <v>1.2239493171416853E-4</v>
      </c>
      <c r="AI240" s="3">
        <f>Tabla9[[#This Row],[FTP_DIARIO]]*Tabla9[[#This Row],[SALDO_PROM_CORREGIDO]]*Tabla9[[#This Row],[DIAS]]</f>
        <v>3562.671314086052</v>
      </c>
      <c r="AJ240" s="3">
        <f>Tabla9[[#This Row],[REAL_FTP_MONTO]]-Tabla9[[#This Row],[INT_REAL]]</f>
        <v>894.9798140860521</v>
      </c>
      <c r="AK240" s="3">
        <f>Tabla9[[#This Row],[FTP_DIARIO]]*Tabla9[[#This Row],[COMPROMISO]]*Tabla9[[#This Row],[DIAS]]</f>
        <v>183.59239757125277</v>
      </c>
      <c r="AL240" s="13">
        <f>((( (Tabla9[[#This Row],[TASA_INT]])+1)^(30/360) -1)*(36000/30))/36000</f>
        <v>9.1656617228519371E-5</v>
      </c>
      <c r="AM240" s="3">
        <f>Tabla9[[#This Row],[TEA DIARIA]]*Tabla9[[#This Row],[SALDO_PROM_CORREGIDO]]*Tabla9[[#This Row],[DIAS]]</f>
        <v>2667.9405460088228</v>
      </c>
      <c r="AN240" s="3">
        <f>Tabla9[[#This Row],[TEA DIARIA]]*Tabla9[[#This Row],[COMPROMISO]]*Tabla9[[#This Row],[DIAS]]</f>
        <v>137.48492584277903</v>
      </c>
      <c r="AO240" s="14">
        <f>+Tabla9[[#This Row],[PROYECTADO_FTP_MONTO]]-Tabla9[[#This Row],[PROYECCION_INTERES]]</f>
        <v>46.10747172847374</v>
      </c>
      <c r="AP240" s="3">
        <f>Tabla9[[#This Row],[PROYECCION_MARGEN(FTP - Int compromiso)]]-Tabla9[[#This Row],[REAL_MARGEN(FTP - Int)]]</f>
        <v>-848.87234235757842</v>
      </c>
    </row>
    <row r="241" spans="1:42" x14ac:dyDescent="0.35">
      <c r="A241">
        <v>202604</v>
      </c>
      <c r="B241" s="7">
        <v>46142</v>
      </c>
      <c r="C241">
        <v>16160216</v>
      </c>
      <c r="D241" t="s">
        <v>36</v>
      </c>
      <c r="E241" t="s">
        <v>37</v>
      </c>
      <c r="F241" t="s">
        <v>207</v>
      </c>
      <c r="G241" t="s">
        <v>37</v>
      </c>
      <c r="H241" t="s">
        <v>498</v>
      </c>
      <c r="I241" t="s">
        <v>243</v>
      </c>
      <c r="J241" t="str">
        <f t="shared" ref="J241" si="258">IF(I241="SOLES","4.4963","3.388")</f>
        <v>4.4963</v>
      </c>
      <c r="K241" t="s">
        <v>32</v>
      </c>
      <c r="L241" t="s">
        <v>39</v>
      </c>
      <c r="M241" t="s">
        <v>31</v>
      </c>
      <c r="N241" t="s">
        <v>446</v>
      </c>
      <c r="O241" t="s">
        <v>44</v>
      </c>
      <c r="P241" s="3">
        <v>23598731.3693</v>
      </c>
      <c r="Q241" s="3">
        <v>15883321.67</v>
      </c>
      <c r="R241" s="4">
        <v>4.4999999999999998E-2</v>
      </c>
      <c r="S241" s="3">
        <f>+Tabla9[[#This Row],[SAL_PROM_SOL]]</f>
        <v>23598731.3693</v>
      </c>
      <c r="T241" s="4">
        <v>4.2000000000000003E-2</v>
      </c>
      <c r="U241" s="4">
        <v>3.0000000000000001E-3</v>
      </c>
      <c r="V241" s="3">
        <v>86650.948499999999</v>
      </c>
      <c r="W241" s="3">
        <v>81037.718800000002</v>
      </c>
      <c r="X241" s="3">
        <v>5613.2296999999999</v>
      </c>
      <c r="Y241" s="3">
        <v>0</v>
      </c>
      <c r="Z241" s="3">
        <v>5613.2296999999999</v>
      </c>
      <c r="AA241">
        <v>30</v>
      </c>
      <c r="AB241" t="b">
        <f t="shared" ref="AB241:AB250" si="259">+AA241=30</f>
        <v>1</v>
      </c>
      <c r="AC241" s="3">
        <v>70000000</v>
      </c>
      <c r="AD241" t="s">
        <v>46</v>
      </c>
      <c r="AE241" s="8">
        <v>46155.560022106481</v>
      </c>
      <c r="AF241" s="6">
        <f t="shared" ref="AF241" si="260">S241/AC241</f>
        <v>0.33712473384714287</v>
      </c>
      <c r="AG241" s="6" t="b">
        <f>+Tabla9[[#This Row],[CUMPLIMIENTO]]&lt;100%</f>
        <v>1</v>
      </c>
      <c r="AH241" s="12">
        <f>((( (Tabla9[[#This Row],[FTP_CIERRE_MES]]/100)+1)^(30/360) -1)*(36000/30))/36000</f>
        <v>1.2239493171416853E-4</v>
      </c>
      <c r="AI241" s="3">
        <f>Tabla9[[#This Row],[FTP_DIARIO]]*Tabla9[[#This Row],[SALDO_PROM_CORREGIDO]]*Tabla9[[#This Row],[DIAS]]</f>
        <v>86650.953434594412</v>
      </c>
      <c r="AJ241" s="3">
        <f>Tabla9[[#This Row],[REAL_FTP_MONTO]]-Tabla9[[#This Row],[INT_REAL]]</f>
        <v>5613.2346345944097</v>
      </c>
      <c r="AK241" s="3">
        <f>Tabla9[[#This Row],[FTP_DIARIO]]*Tabla9[[#This Row],[COMPROMISO]]*Tabla9[[#This Row],[DIAS]]</f>
        <v>257029.3565997539</v>
      </c>
      <c r="AL241" s="13">
        <f>((( (Tabla9[[#This Row],[TASA_INT]])+1)^(30/360) -1)*(36000/30))/36000</f>
        <v>1.1447930966822876E-4</v>
      </c>
      <c r="AM241" s="3">
        <f>Tabla9[[#This Row],[TEA DIARIA]]*Tabla9[[#This Row],[SALDO_PROM_CORREGIDO]]*Tabla9[[#This Row],[DIAS]]</f>
        <v>81046.994286103174</v>
      </c>
      <c r="AN241" s="3">
        <f>Tabla9[[#This Row],[TEA DIARIA]]*Tabla9[[#This Row],[COMPROMISO]]*Tabla9[[#This Row],[DIAS]]</f>
        <v>240406.55030328041</v>
      </c>
      <c r="AO241" s="14">
        <f>+Tabla9[[#This Row],[PROYECTADO_FTP_MONTO]]-Tabla9[[#This Row],[PROYECCION_INTERES]]</f>
        <v>16622.806296473485</v>
      </c>
      <c r="AP241" s="3">
        <f>Tabla9[[#This Row],[PROYECCION_MARGEN(FTP - Int compromiso)]]-Tabla9[[#This Row],[REAL_MARGEN(FTP - Int)]]</f>
        <v>11009.571661879076</v>
      </c>
    </row>
    <row r="242" spans="1:42" x14ac:dyDescent="0.35">
      <c r="A242">
        <v>202604</v>
      </c>
      <c r="B242" s="7">
        <v>46142</v>
      </c>
      <c r="C242">
        <v>16176626</v>
      </c>
      <c r="D242" t="s">
        <v>29</v>
      </c>
      <c r="E242" t="s">
        <v>40</v>
      </c>
      <c r="F242" t="s">
        <v>208</v>
      </c>
      <c r="G242" t="s">
        <v>40</v>
      </c>
      <c r="H242" t="s">
        <v>502</v>
      </c>
      <c r="I242" t="s">
        <v>243</v>
      </c>
      <c r="J242" t="str">
        <f t="shared" ref="J242" si="261">IF(I242="SOLES","4.4963","3.388")</f>
        <v>4.4963</v>
      </c>
      <c r="K242" t="s">
        <v>32</v>
      </c>
      <c r="L242" t="s">
        <v>33</v>
      </c>
      <c r="M242" t="s">
        <v>31</v>
      </c>
      <c r="N242" t="s">
        <v>447</v>
      </c>
      <c r="O242" t="s">
        <v>44</v>
      </c>
      <c r="P242" s="3">
        <v>1815091.8196</v>
      </c>
      <c r="Q242" s="3">
        <v>3724241.52</v>
      </c>
      <c r="R242" s="4">
        <v>4.4999999999999998E-2</v>
      </c>
      <c r="S242" s="3">
        <f>+Tabla9[[#This Row],[SAL_PROM_SOL]]</f>
        <v>1815091.8196</v>
      </c>
      <c r="T242" s="4">
        <v>3.1399999999999997E-2</v>
      </c>
      <c r="U242" s="4">
        <v>1.3599999999999999E-2</v>
      </c>
      <c r="V242" s="3">
        <v>6664.7389999999996</v>
      </c>
      <c r="W242" s="3">
        <v>4682.0806000000002</v>
      </c>
      <c r="X242" s="3">
        <v>1982.6584</v>
      </c>
      <c r="Y242" s="3">
        <v>43.9499</v>
      </c>
      <c r="Z242" s="3">
        <v>1938.7085</v>
      </c>
      <c r="AA242">
        <v>30</v>
      </c>
      <c r="AB242" t="b">
        <f t="shared" si="259"/>
        <v>1</v>
      </c>
      <c r="AC242" s="3">
        <v>1500000</v>
      </c>
      <c r="AD242" t="s">
        <v>46</v>
      </c>
      <c r="AE242" s="8">
        <v>46155.560022106481</v>
      </c>
      <c r="AF242" s="6">
        <f t="shared" ref="AF242" si="262">S242/AC242</f>
        <v>1.2100612130666668</v>
      </c>
      <c r="AG242" s="6" t="b">
        <f>+Tabla9[[#This Row],[CUMPLIMIENTO]]&lt;100%</f>
        <v>0</v>
      </c>
      <c r="AH242" s="12">
        <f>((( (Tabla9[[#This Row],[FTP_CIERRE_MES]]/100)+1)^(30/360) -1)*(36000/30))/36000</f>
        <v>1.2239493171416853E-4</v>
      </c>
      <c r="AI242" s="3">
        <f>Tabla9[[#This Row],[FTP_DIARIO]]*Tabla9[[#This Row],[SALDO_PROM_CORREGIDO]]*Tabla9[[#This Row],[DIAS]]</f>
        <v>6664.741179446637</v>
      </c>
      <c r="AJ242" s="3">
        <f>Tabla9[[#This Row],[REAL_FTP_MONTO]]-Tabla9[[#This Row],[INT_REAL]]</f>
        <v>1982.6605794466368</v>
      </c>
      <c r="AK242" s="3">
        <f>Tabla9[[#This Row],[FTP_DIARIO]]*Tabla9[[#This Row],[COMPROMISO]]*Tabla9[[#This Row],[DIAS]]</f>
        <v>5507.7719271375836</v>
      </c>
      <c r="AL242" s="13">
        <f>((( (Tabla9[[#This Row],[TASA_INT]])+1)^(30/360) -1)*(36000/30))/36000</f>
        <v>8.5991568507467106E-5</v>
      </c>
      <c r="AM242" s="3">
        <f>Tabla9[[#This Row],[TEA DIARIA]]*Tabla9[[#This Row],[SALDO_PROM_CORREGIDO]]*Tabla9[[#This Row],[DIAS]]</f>
        <v>4682.4777765742965</v>
      </c>
      <c r="AN242" s="3">
        <f>Tabla9[[#This Row],[TEA DIARIA]]*Tabla9[[#This Row],[COMPROMISO]]*Tabla9[[#This Row],[DIAS]]</f>
        <v>3869.6205828360198</v>
      </c>
      <c r="AO242" s="14">
        <f>+Tabla9[[#This Row],[PROYECTADO_FTP_MONTO]]-Tabla9[[#This Row],[PROYECCION_INTERES]]</f>
        <v>1638.1513443015638</v>
      </c>
      <c r="AP242" s="3">
        <f>Tabla9[[#This Row],[PROYECCION_MARGEN(FTP - Int compromiso)]]-Tabla9[[#This Row],[REAL_MARGEN(FTP - Int)]]</f>
        <v>-344.50923514507303</v>
      </c>
    </row>
    <row r="243" spans="1:42" x14ac:dyDescent="0.35">
      <c r="A243">
        <v>202604</v>
      </c>
      <c r="B243" s="7">
        <v>46142</v>
      </c>
      <c r="C243">
        <v>16251583</v>
      </c>
      <c r="D243" t="s">
        <v>36</v>
      </c>
      <c r="E243" t="s">
        <v>37</v>
      </c>
      <c r="F243" t="s">
        <v>209</v>
      </c>
      <c r="G243" t="s">
        <v>37</v>
      </c>
      <c r="H243" t="s">
        <v>498</v>
      </c>
      <c r="I243" t="s">
        <v>243</v>
      </c>
      <c r="J243" t="str">
        <f t="shared" ref="J243:J245" si="263">IF(I243="SOLES","4.4963","3.388")</f>
        <v>4.4963</v>
      </c>
      <c r="K243" t="s">
        <v>32</v>
      </c>
      <c r="L243" t="s">
        <v>33</v>
      </c>
      <c r="M243" t="s">
        <v>31</v>
      </c>
      <c r="N243" t="s">
        <v>448</v>
      </c>
      <c r="O243" t="s">
        <v>44</v>
      </c>
      <c r="P243" s="3">
        <v>4014643.7483000001</v>
      </c>
      <c r="Q243" s="3">
        <v>4540655.26</v>
      </c>
      <c r="R243" s="4">
        <v>4.4999999999999998E-2</v>
      </c>
      <c r="T243" s="4">
        <v>2.0999999999999999E-3</v>
      </c>
      <c r="U243" s="4">
        <v>4.2900000000000001E-2</v>
      </c>
      <c r="V243" s="3">
        <v>14741.1597</v>
      </c>
      <c r="W243" s="3">
        <v>686.24839999999995</v>
      </c>
      <c r="X243" s="3">
        <v>14054.9113</v>
      </c>
      <c r="Y243" s="3">
        <v>43.9499</v>
      </c>
      <c r="Z243" s="3">
        <v>14010.9614</v>
      </c>
      <c r="AA243">
        <v>30</v>
      </c>
      <c r="AB243" t="b">
        <f t="shared" si="259"/>
        <v>1</v>
      </c>
      <c r="AD243" t="s">
        <v>46</v>
      </c>
      <c r="AE243" s="8">
        <v>46155.560022106481</v>
      </c>
      <c r="AF243" s="6" t="e">
        <f t="shared" ref="AF243:AF245" si="264">S243/AC243</f>
        <v>#DIV/0!</v>
      </c>
      <c r="AG243" s="6" t="e">
        <f>+Tabla9[[#This Row],[CUMPLIMIENTO]]&lt;100%</f>
        <v>#DIV/0!</v>
      </c>
      <c r="AH243" s="12">
        <f>((( (Tabla9[[#This Row],[FTP_CIERRE_MES]]/100)+1)^(30/360) -1)*(36000/30))/36000</f>
        <v>1.2239493171416853E-4</v>
      </c>
      <c r="AI243" s="3">
        <f>Tabla9[[#This Row],[FTP_DIARIO]]*Tabla9[[#This Row],[SALDO_PROM_CORREGIDO]]*Tabla9[[#This Row],[DIAS]]</f>
        <v>0</v>
      </c>
      <c r="AJ243" s="3">
        <f>Tabla9[[#This Row],[REAL_FTP_MONTO]]-Tabla9[[#This Row],[INT_REAL]]</f>
        <v>-686.24839999999995</v>
      </c>
      <c r="AK243" s="3">
        <f>Tabla9[[#This Row],[FTP_DIARIO]]*Tabla9[[#This Row],[COMPROMISO]]*Tabla9[[#This Row],[DIAS]]</f>
        <v>0</v>
      </c>
      <c r="AL243" s="13">
        <f>((( (Tabla9[[#This Row],[TASA_INT]])+1)^(30/360) -1)*(36000/30))/36000</f>
        <v>5.8277262713864649E-6</v>
      </c>
      <c r="AM243" s="3">
        <f>Tabla9[[#This Row],[TEA DIARIA]]*Tabla9[[#This Row],[SALDO_PROM_CORREGIDO]]*Tabla9[[#This Row],[DIAS]]</f>
        <v>0</v>
      </c>
      <c r="AN243" s="3">
        <f>Tabla9[[#This Row],[TEA DIARIA]]*Tabla9[[#This Row],[COMPROMISO]]*Tabla9[[#This Row],[DIAS]]</f>
        <v>0</v>
      </c>
      <c r="AO243" s="14">
        <f>+Tabla9[[#This Row],[PROYECTADO_FTP_MONTO]]-Tabla9[[#This Row],[PROYECCION_INTERES]]</f>
        <v>0</v>
      </c>
      <c r="AP243" s="3">
        <f>Tabla9[[#This Row],[PROYECCION_MARGEN(FTP - Int compromiso)]]-Tabla9[[#This Row],[REAL_MARGEN(FTP - Int)]]</f>
        <v>686.24839999999995</v>
      </c>
    </row>
    <row r="244" spans="1:42" x14ac:dyDescent="0.35">
      <c r="A244">
        <v>202604</v>
      </c>
      <c r="B244" s="7">
        <v>46142</v>
      </c>
      <c r="C244">
        <v>16251583</v>
      </c>
      <c r="D244" t="s">
        <v>36</v>
      </c>
      <c r="E244" t="s">
        <v>37</v>
      </c>
      <c r="F244" t="s">
        <v>209</v>
      </c>
      <c r="G244" t="s">
        <v>37</v>
      </c>
      <c r="H244" t="s">
        <v>498</v>
      </c>
      <c r="I244" t="s">
        <v>243</v>
      </c>
      <c r="J244" t="str">
        <f t="shared" si="263"/>
        <v>4.4963</v>
      </c>
      <c r="K244" t="s">
        <v>32</v>
      </c>
      <c r="L244" t="s">
        <v>33</v>
      </c>
      <c r="M244" t="s">
        <v>31</v>
      </c>
      <c r="N244" t="s">
        <v>449</v>
      </c>
      <c r="O244" t="s">
        <v>44</v>
      </c>
      <c r="P244" s="3">
        <v>10797604.261</v>
      </c>
      <c r="Q244" s="3">
        <v>13969597.289999999</v>
      </c>
      <c r="R244" s="4">
        <v>4.4999999999999998E-2</v>
      </c>
      <c r="T244" s="4">
        <v>2E-3</v>
      </c>
      <c r="U244" s="4">
        <v>4.2999999999999997E-2</v>
      </c>
      <c r="V244" s="3">
        <v>39647.1607</v>
      </c>
      <c r="W244" s="3">
        <v>1797.9484</v>
      </c>
      <c r="X244" s="3">
        <v>37849.212299999999</v>
      </c>
      <c r="Y244" s="3">
        <v>0</v>
      </c>
      <c r="Z244" s="3">
        <v>37849.212299999999</v>
      </c>
      <c r="AA244">
        <v>30</v>
      </c>
      <c r="AB244" t="b">
        <f t="shared" si="259"/>
        <v>1</v>
      </c>
      <c r="AD244" t="s">
        <v>46</v>
      </c>
      <c r="AE244" s="8">
        <v>46155.560022106481</v>
      </c>
      <c r="AF244" s="6" t="e">
        <f t="shared" si="264"/>
        <v>#DIV/0!</v>
      </c>
      <c r="AG244" s="6" t="e">
        <f>+Tabla9[[#This Row],[CUMPLIMIENTO]]&lt;100%</f>
        <v>#DIV/0!</v>
      </c>
      <c r="AH244" s="12">
        <f>((( (Tabla9[[#This Row],[FTP_CIERRE_MES]]/100)+1)^(30/360) -1)*(36000/30))/36000</f>
        <v>1.2239493171416853E-4</v>
      </c>
      <c r="AI244" s="3">
        <f>Tabla9[[#This Row],[FTP_DIARIO]]*Tabla9[[#This Row],[SALDO_PROM_CORREGIDO]]*Tabla9[[#This Row],[DIAS]]</f>
        <v>0</v>
      </c>
      <c r="AJ244" s="3">
        <f>Tabla9[[#This Row],[REAL_FTP_MONTO]]-Tabla9[[#This Row],[INT_REAL]]</f>
        <v>-1797.9484</v>
      </c>
      <c r="AK244" s="3">
        <f>Tabla9[[#This Row],[FTP_DIARIO]]*Tabla9[[#This Row],[COMPROMISO]]*Tabla9[[#This Row],[DIAS]]</f>
        <v>0</v>
      </c>
      <c r="AL244" s="13">
        <f>((( (Tabla9[[#This Row],[TASA_INT]])+1)^(30/360) -1)*(36000/30))/36000</f>
        <v>5.5504694606911545E-6</v>
      </c>
      <c r="AM244" s="3">
        <f>Tabla9[[#This Row],[TEA DIARIA]]*Tabla9[[#This Row],[SALDO_PROM_CORREGIDO]]*Tabla9[[#This Row],[DIAS]]</f>
        <v>0</v>
      </c>
      <c r="AN244" s="3">
        <f>Tabla9[[#This Row],[TEA DIARIA]]*Tabla9[[#This Row],[COMPROMISO]]*Tabla9[[#This Row],[DIAS]]</f>
        <v>0</v>
      </c>
      <c r="AO244" s="14">
        <f>+Tabla9[[#This Row],[PROYECTADO_FTP_MONTO]]-Tabla9[[#This Row],[PROYECCION_INTERES]]</f>
        <v>0</v>
      </c>
      <c r="AP244" s="3">
        <f>Tabla9[[#This Row],[PROYECCION_MARGEN(FTP - Int compromiso)]]-Tabla9[[#This Row],[REAL_MARGEN(FTP - Int)]]</f>
        <v>1797.9484</v>
      </c>
    </row>
    <row r="245" spans="1:42" x14ac:dyDescent="0.35">
      <c r="A245">
        <v>202604</v>
      </c>
      <c r="B245" s="7">
        <v>46142</v>
      </c>
      <c r="C245">
        <v>16251583</v>
      </c>
      <c r="D245" t="s">
        <v>36</v>
      </c>
      <c r="E245" t="s">
        <v>37</v>
      </c>
      <c r="F245" t="s">
        <v>209</v>
      </c>
      <c r="G245" t="s">
        <v>37</v>
      </c>
      <c r="H245" t="s">
        <v>498</v>
      </c>
      <c r="I245" t="s">
        <v>243</v>
      </c>
      <c r="J245" t="str">
        <f t="shared" si="263"/>
        <v>4.4963</v>
      </c>
      <c r="K245" t="s">
        <v>32</v>
      </c>
      <c r="L245" t="s">
        <v>33</v>
      </c>
      <c r="M245" t="s">
        <v>31</v>
      </c>
      <c r="N245" t="s">
        <v>450</v>
      </c>
      <c r="O245" t="s">
        <v>44</v>
      </c>
      <c r="P245" s="3">
        <v>24709480.3605</v>
      </c>
      <c r="Q245" s="3">
        <v>24713457.670000002</v>
      </c>
      <c r="R245" s="4">
        <v>4.4999999999999998E-2</v>
      </c>
      <c r="S245" s="10">
        <f>SUM(P243:P245)</f>
        <v>39521728.369800001</v>
      </c>
      <c r="T245" s="4">
        <v>2E-3</v>
      </c>
      <c r="U245" s="4">
        <v>4.2999999999999997E-2</v>
      </c>
      <c r="V245" s="3">
        <v>90729.450500000006</v>
      </c>
      <c r="W245" s="3">
        <v>4114.4503999999997</v>
      </c>
      <c r="X245" s="3">
        <v>86615.000100000005</v>
      </c>
      <c r="Y245" s="3">
        <v>0</v>
      </c>
      <c r="Z245" s="3">
        <v>86615.000100000005</v>
      </c>
      <c r="AA245">
        <v>30</v>
      </c>
      <c r="AB245" t="b">
        <f t="shared" si="259"/>
        <v>1</v>
      </c>
      <c r="AC245" s="10">
        <v>50000000</v>
      </c>
      <c r="AD245" t="s">
        <v>46</v>
      </c>
      <c r="AE245" s="8">
        <v>46155.560022106481</v>
      </c>
      <c r="AF245" s="6">
        <f t="shared" si="264"/>
        <v>0.79043456739600004</v>
      </c>
      <c r="AG245" s="6" t="b">
        <f>+Tabla9[[#This Row],[CUMPLIMIENTO]]&lt;100%</f>
        <v>1</v>
      </c>
      <c r="AH245" s="12">
        <f>((( (Tabla9[[#This Row],[FTP_CIERRE_MES]]/100)+1)^(30/360) -1)*(36000/30))/36000</f>
        <v>1.2239493171416853E-4</v>
      </c>
      <c r="AI245" s="3">
        <f>Tabla9[[#This Row],[FTP_DIARIO]]*Tabla9[[#This Row],[SALDO_PROM_CORREGIDO]]*Tabla9[[#This Row],[DIAS]]</f>
        <v>145117.77735142762</v>
      </c>
      <c r="AJ245" s="3">
        <f>Tabla9[[#This Row],[REAL_FTP_MONTO]]-Tabla9[[#This Row],[INT_REAL]]</f>
        <v>141003.32695142762</v>
      </c>
      <c r="AK245" s="3">
        <f>Tabla9[[#This Row],[FTP_DIARIO]]*Tabla9[[#This Row],[COMPROMISO]]*Tabla9[[#This Row],[DIAS]]</f>
        <v>183592.39757125278</v>
      </c>
      <c r="AL245" s="13">
        <f>((( (Tabla9[[#This Row],[TASA_INT]])+1)^(30/360) -1)*(36000/30))/36000</f>
        <v>5.5504694606911545E-6</v>
      </c>
      <c r="AM245" s="3">
        <f>Tabla9[[#This Row],[TEA DIARIA]]*Tabla9[[#This Row],[SALDO_PROM_CORREGIDO]]*Tabla9[[#This Row],[DIAS]]</f>
        <v>6580.9243905091835</v>
      </c>
      <c r="AN245" s="3">
        <f>Tabla9[[#This Row],[TEA DIARIA]]*Tabla9[[#This Row],[COMPROMISO]]*Tabla9[[#This Row],[DIAS]]</f>
        <v>8325.7041910367334</v>
      </c>
      <c r="AO245" s="14">
        <f>+Tabla9[[#This Row],[PROYECTADO_FTP_MONTO]]-Tabla9[[#This Row],[PROYECCION_INTERES]]</f>
        <v>175266.69338021605</v>
      </c>
      <c r="AP245" s="3">
        <f>Tabla9[[#This Row],[PROYECCION_MARGEN(FTP - Int compromiso)]]-Tabla9[[#This Row],[REAL_MARGEN(FTP - Int)]]</f>
        <v>34263.366428788431</v>
      </c>
    </row>
    <row r="246" spans="1:42" x14ac:dyDescent="0.35">
      <c r="A246">
        <v>202604</v>
      </c>
      <c r="B246" s="7">
        <v>46142</v>
      </c>
      <c r="C246">
        <v>16442326</v>
      </c>
      <c r="D246" t="s">
        <v>36</v>
      </c>
      <c r="E246" t="s">
        <v>37</v>
      </c>
      <c r="F246" t="s">
        <v>210</v>
      </c>
      <c r="G246" t="s">
        <v>37</v>
      </c>
      <c r="H246" t="s">
        <v>498</v>
      </c>
      <c r="I246" t="s">
        <v>244</v>
      </c>
      <c r="J246" t="str">
        <f t="shared" ref="J246" si="265">IF(I246="SOLES","4.4963","3.388")</f>
        <v>3.388</v>
      </c>
      <c r="K246" t="s">
        <v>32</v>
      </c>
      <c r="L246" t="s">
        <v>33</v>
      </c>
      <c r="M246" t="s">
        <v>34</v>
      </c>
      <c r="N246" t="s">
        <v>451</v>
      </c>
      <c r="O246" t="s">
        <v>44</v>
      </c>
      <c r="P246" s="3">
        <v>593877.63009999995</v>
      </c>
      <c r="Q246" s="3">
        <v>363689.10129999998</v>
      </c>
      <c r="R246" s="4">
        <v>3.39E-2</v>
      </c>
      <c r="S246" s="3">
        <f>+Tabla9[[#This Row],[SAL_PROM_SOL]]</f>
        <v>593877.63009999995</v>
      </c>
      <c r="T246" s="4">
        <v>3.5000000000000001E-3</v>
      </c>
      <c r="U246" s="4">
        <v>3.04E-2</v>
      </c>
      <c r="V246" s="3">
        <v>1651.2284</v>
      </c>
      <c r="W246" s="3">
        <v>173.14850000000001</v>
      </c>
      <c r="X246" s="3">
        <v>1478.0799</v>
      </c>
      <c r="Y246" s="3">
        <v>41.694699999999997</v>
      </c>
      <c r="Z246" s="3">
        <v>1436.3851999999999</v>
      </c>
      <c r="AA246">
        <v>30</v>
      </c>
      <c r="AB246" t="b">
        <f t="shared" si="259"/>
        <v>1</v>
      </c>
      <c r="AC246" s="3">
        <v>15000000</v>
      </c>
      <c r="AD246" t="s">
        <v>46</v>
      </c>
      <c r="AE246" s="8">
        <v>46155.560022106481</v>
      </c>
      <c r="AF246" s="6">
        <f t="shared" ref="AF246" si="266">S246/AC246</f>
        <v>3.9591842006666662E-2</v>
      </c>
      <c r="AG246" s="6" t="b">
        <f>+Tabla9[[#This Row],[CUMPLIMIENTO]]&lt;100%</f>
        <v>1</v>
      </c>
      <c r="AH246" s="12">
        <f>((( (Tabla9[[#This Row],[FTP_CIERRE_MES]]/100)+1)^(30/360) -1)*(36000/30))/36000</f>
        <v>9.2680593701059222E-5</v>
      </c>
      <c r="AI246" s="3">
        <f>Tabla9[[#This Row],[FTP_DIARIO]]*Tabla9[[#This Row],[SALDO_PROM_CORREGIDO]]*Tabla9[[#This Row],[DIAS]]</f>
        <v>1651.227940303381</v>
      </c>
      <c r="AJ246" s="3">
        <f>Tabla9[[#This Row],[REAL_FTP_MONTO]]-Tabla9[[#This Row],[INT_REAL]]</f>
        <v>1478.079440303381</v>
      </c>
      <c r="AK246" s="3">
        <f>Tabla9[[#This Row],[FTP_DIARIO]]*Tabla9[[#This Row],[COMPROMISO]]*Tabla9[[#This Row],[DIAS]]</f>
        <v>41706.267165476653</v>
      </c>
      <c r="AL246" s="13">
        <f>((( (Tabla9[[#This Row],[TASA_INT]])+1)^(30/360) -1)*(36000/30))/36000</f>
        <v>9.7066609431835826E-6</v>
      </c>
      <c r="AM246" s="3">
        <f>Tabla9[[#This Row],[TEA DIARIA]]*Tabla9[[#This Row],[SALDO_PROM_CORREGIDO]]*Tabla9[[#This Row],[DIAS]]</f>
        <v>172.93706391366288</v>
      </c>
      <c r="AN246" s="3">
        <f>Tabla9[[#This Row],[TEA DIARIA]]*Tabla9[[#This Row],[COMPROMISO]]*Tabla9[[#This Row],[DIAS]]</f>
        <v>4367.9974244326122</v>
      </c>
      <c r="AO246" s="14">
        <f>+Tabla9[[#This Row],[PROYECTADO_FTP_MONTO]]-Tabla9[[#This Row],[PROYECCION_INTERES]]</f>
        <v>37338.269741044038</v>
      </c>
      <c r="AP246" s="3">
        <f>Tabla9[[#This Row],[PROYECCION_MARGEN(FTP - Int compromiso)]]-Tabla9[[#This Row],[REAL_MARGEN(FTP - Int)]]</f>
        <v>35860.190300740658</v>
      </c>
    </row>
    <row r="247" spans="1:42" x14ac:dyDescent="0.35">
      <c r="A247">
        <v>202604</v>
      </c>
      <c r="B247" s="7">
        <v>46142</v>
      </c>
      <c r="C247">
        <v>16557079</v>
      </c>
      <c r="D247" t="s">
        <v>36</v>
      </c>
      <c r="E247" t="s">
        <v>37</v>
      </c>
      <c r="F247" t="s">
        <v>211</v>
      </c>
      <c r="G247" t="s">
        <v>37</v>
      </c>
      <c r="H247" t="s">
        <v>498</v>
      </c>
      <c r="I247" t="s">
        <v>243</v>
      </c>
      <c r="J247" t="str">
        <f t="shared" ref="J247" si="267">IF(I247="SOLES","4.4963","3.388")</f>
        <v>4.4963</v>
      </c>
      <c r="K247" t="s">
        <v>32</v>
      </c>
      <c r="L247" t="s">
        <v>33</v>
      </c>
      <c r="M247" t="s">
        <v>31</v>
      </c>
      <c r="N247" t="s">
        <v>452</v>
      </c>
      <c r="O247" t="s">
        <v>44</v>
      </c>
      <c r="P247" s="3">
        <v>8670621.6586000007</v>
      </c>
      <c r="Q247" s="3">
        <v>6730115.21</v>
      </c>
      <c r="R247" s="4">
        <v>4.4999999999999998E-2</v>
      </c>
      <c r="S247" s="3">
        <f>+Tabla9[[#This Row],[SAL_PROM_SOL]]</f>
        <v>8670621.6586000007</v>
      </c>
      <c r="T247" s="4">
        <v>1.9E-2</v>
      </c>
      <c r="U247" s="4">
        <v>2.5999999999999999E-2</v>
      </c>
      <c r="V247" s="3">
        <v>31837.2006</v>
      </c>
      <c r="W247" s="3">
        <v>13615.9805</v>
      </c>
      <c r="X247" s="3">
        <v>18221.220099999999</v>
      </c>
      <c r="Y247" s="3">
        <v>0</v>
      </c>
      <c r="Z247" s="3">
        <v>18221.220099999999</v>
      </c>
      <c r="AA247">
        <v>30</v>
      </c>
      <c r="AB247" t="b">
        <f t="shared" si="259"/>
        <v>1</v>
      </c>
      <c r="AC247" s="3">
        <v>4000000</v>
      </c>
      <c r="AD247" t="s">
        <v>46</v>
      </c>
      <c r="AE247" s="8">
        <v>46155.560022106481</v>
      </c>
      <c r="AF247" s="6">
        <f t="shared" ref="AF247" si="268">S247/AC247</f>
        <v>2.16765541465</v>
      </c>
      <c r="AG247" s="6" t="b">
        <f>+Tabla9[[#This Row],[CUMPLIMIENTO]]&lt;100%</f>
        <v>0</v>
      </c>
      <c r="AH247" s="12">
        <f>((( (Tabla9[[#This Row],[FTP_CIERRE_MES]]/100)+1)^(30/360) -1)*(36000/30))/36000</f>
        <v>1.2239493171416853E-4</v>
      </c>
      <c r="AI247" s="3">
        <f>Tabla9[[#This Row],[FTP_DIARIO]]*Tabla9[[#This Row],[SALDO_PROM_CORREGIDO]]*Tabla9[[#This Row],[DIAS]]</f>
        <v>31837.204374712132</v>
      </c>
      <c r="AJ247" s="3">
        <f>Tabla9[[#This Row],[REAL_FTP_MONTO]]-Tabla9[[#This Row],[INT_REAL]]</f>
        <v>18221.22387471213</v>
      </c>
      <c r="AK247" s="3">
        <f>Tabla9[[#This Row],[FTP_DIARIO]]*Tabla9[[#This Row],[COMPROMISO]]*Tabla9[[#This Row],[DIAS]]</f>
        <v>14687.391805700223</v>
      </c>
      <c r="AL247" s="13">
        <f>((( (Tabla9[[#This Row],[TASA_INT]])+1)^(30/360) -1)*(36000/30))/36000</f>
        <v>5.2323674247123364E-5</v>
      </c>
      <c r="AM247" s="3">
        <f>Tabla9[[#This Row],[TEA DIARIA]]*Tabla9[[#This Row],[SALDO_PROM_CORREGIDO]]*Tabla9[[#This Row],[DIAS]]</f>
        <v>13610.363495539168</v>
      </c>
      <c r="AN247" s="3">
        <f>Tabla9[[#This Row],[TEA DIARIA]]*Tabla9[[#This Row],[COMPROMISO]]*Tabla9[[#This Row],[DIAS]]</f>
        <v>6278.8409096548039</v>
      </c>
      <c r="AO247" s="14">
        <f>+Tabla9[[#This Row],[PROYECTADO_FTP_MONTO]]-Tabla9[[#This Row],[PROYECCION_INTERES]]</f>
        <v>8408.550896045419</v>
      </c>
      <c r="AP247" s="3">
        <f>Tabla9[[#This Row],[PROYECCION_MARGEN(FTP - Int compromiso)]]-Tabla9[[#This Row],[REAL_MARGEN(FTP - Int)]]</f>
        <v>-9812.6729786667111</v>
      </c>
    </row>
    <row r="248" spans="1:42" x14ac:dyDescent="0.35">
      <c r="A248">
        <v>202604</v>
      </c>
      <c r="B248" s="7">
        <v>46142</v>
      </c>
      <c r="C248">
        <v>16593706</v>
      </c>
      <c r="D248" t="s">
        <v>42</v>
      </c>
      <c r="E248" t="s">
        <v>48</v>
      </c>
      <c r="F248" t="s">
        <v>212</v>
      </c>
      <c r="G248" t="s">
        <v>48</v>
      </c>
      <c r="H248" t="s">
        <v>526</v>
      </c>
      <c r="I248" t="s">
        <v>243</v>
      </c>
      <c r="J248" t="str">
        <f t="shared" ref="J248" si="269">IF(I248="SOLES","4.4963","3.388")</f>
        <v>4.4963</v>
      </c>
      <c r="K248" t="s">
        <v>32</v>
      </c>
      <c r="L248" t="s">
        <v>41</v>
      </c>
      <c r="M248" t="s">
        <v>31</v>
      </c>
      <c r="N248" t="s">
        <v>453</v>
      </c>
      <c r="O248" t="s">
        <v>44</v>
      </c>
      <c r="P248" s="3">
        <v>4743046.6392999999</v>
      </c>
      <c r="Q248" s="3">
        <v>4752472.83</v>
      </c>
      <c r="R248" s="4">
        <v>4.4999999999999998E-2</v>
      </c>
      <c r="S248" s="3">
        <f>+Tabla9[[#This Row],[SAL_PROM_SOL]]</f>
        <v>4743046.6392999999</v>
      </c>
      <c r="T248" s="4">
        <v>2.5000000000000001E-2</v>
      </c>
      <c r="U248" s="4">
        <v>0.02</v>
      </c>
      <c r="V248" s="3">
        <v>17415.751</v>
      </c>
      <c r="W248" s="3">
        <v>9769.1785</v>
      </c>
      <c r="X248" s="3">
        <v>7646.5725000000002</v>
      </c>
      <c r="Y248" s="3">
        <v>0</v>
      </c>
      <c r="Z248" s="3">
        <v>7646.5725000000002</v>
      </c>
      <c r="AA248">
        <v>30</v>
      </c>
      <c r="AB248" t="b">
        <f t="shared" si="259"/>
        <v>1</v>
      </c>
      <c r="AC248" s="3">
        <v>3000000</v>
      </c>
      <c r="AD248" t="s">
        <v>46</v>
      </c>
      <c r="AE248" s="8">
        <v>46155.560022106481</v>
      </c>
      <c r="AF248" s="6">
        <f t="shared" ref="AF248" si="270">S248/AC248</f>
        <v>1.5810155464333333</v>
      </c>
      <c r="AG248" s="6" t="b">
        <f>+Tabla9[[#This Row],[CUMPLIMIENTO]]&lt;100%</f>
        <v>0</v>
      </c>
      <c r="AH248" s="12">
        <f>((( (Tabla9[[#This Row],[FTP_CIERRE_MES]]/100)+1)^(30/360) -1)*(36000/30))/36000</f>
        <v>1.2239493171416853E-4</v>
      </c>
      <c r="AI248" s="3">
        <f>Tabla9[[#This Row],[FTP_DIARIO]]*Tabla9[[#This Row],[SALDO_PROM_CORREGIDO]]*Tabla9[[#This Row],[DIAS]]</f>
        <v>17415.7460860272</v>
      </c>
      <c r="AJ248" s="3">
        <f>Tabla9[[#This Row],[REAL_FTP_MONTO]]-Tabla9[[#This Row],[INT_REAL]]</f>
        <v>7646.5675860272004</v>
      </c>
      <c r="AK248" s="3">
        <f>Tabla9[[#This Row],[FTP_DIARIO]]*Tabla9[[#This Row],[COMPROMISO]]*Tabla9[[#This Row],[DIAS]]</f>
        <v>11015.543854275167</v>
      </c>
      <c r="AL248" s="13">
        <f>((( (Tabla9[[#This Row],[TASA_INT]])+1)^(30/360) -1)*(36000/30))/36000</f>
        <v>6.8661208994758022E-5</v>
      </c>
      <c r="AM248" s="3">
        <f>Tabla9[[#This Row],[TEA DIARIA]]*Tabla9[[#This Row],[SALDO_PROM_CORREGIDO]]*Tabla9[[#This Row],[DIAS]]</f>
        <v>9769.8994971858592</v>
      </c>
      <c r="AN248" s="3">
        <f>Tabla9[[#This Row],[TEA DIARIA]]*Tabla9[[#This Row],[COMPROMISO]]*Tabla9[[#This Row],[DIAS]]</f>
        <v>6179.5088095282217</v>
      </c>
      <c r="AO248" s="14">
        <f>+Tabla9[[#This Row],[PROYECTADO_FTP_MONTO]]-Tabla9[[#This Row],[PROYECCION_INTERES]]</f>
        <v>4836.0350447469455</v>
      </c>
      <c r="AP248" s="3">
        <f>Tabla9[[#This Row],[PROYECCION_MARGEN(FTP - Int compromiso)]]-Tabla9[[#This Row],[REAL_MARGEN(FTP - Int)]]</f>
        <v>-2810.5325412802549</v>
      </c>
    </row>
    <row r="249" spans="1:42" x14ac:dyDescent="0.35">
      <c r="A249">
        <v>202604</v>
      </c>
      <c r="B249" s="7">
        <v>46142</v>
      </c>
      <c r="C249">
        <v>17018828</v>
      </c>
      <c r="D249" t="s">
        <v>29</v>
      </c>
      <c r="E249" t="s">
        <v>30</v>
      </c>
      <c r="F249" t="s">
        <v>213</v>
      </c>
      <c r="G249" t="s">
        <v>30</v>
      </c>
      <c r="H249" t="s">
        <v>519</v>
      </c>
      <c r="I249" t="s">
        <v>243</v>
      </c>
      <c r="J249" t="str">
        <f t="shared" ref="J249" si="271">IF(I249="SOLES","4.4963","3.388")</f>
        <v>4.4963</v>
      </c>
      <c r="K249" t="s">
        <v>32</v>
      </c>
      <c r="L249" t="s">
        <v>33</v>
      </c>
      <c r="M249" t="s">
        <v>31</v>
      </c>
      <c r="N249" t="s">
        <v>454</v>
      </c>
      <c r="O249" t="s">
        <v>44</v>
      </c>
      <c r="P249" s="3">
        <v>10006369.8013</v>
      </c>
      <c r="Q249" s="3">
        <v>8802719.2100000009</v>
      </c>
      <c r="R249" s="4">
        <v>4.4999999999999998E-2</v>
      </c>
      <c r="S249" s="3">
        <f>+Tabla9[[#This Row],[SAL_PROM_SOL]]</f>
        <v>10006369.8013</v>
      </c>
      <c r="T249" s="4">
        <v>1.34E-2</v>
      </c>
      <c r="U249" s="4">
        <v>3.1600000000000003E-2</v>
      </c>
      <c r="V249" s="3">
        <v>36741.871200000001</v>
      </c>
      <c r="W249" s="3">
        <v>11123.1211</v>
      </c>
      <c r="X249" s="3">
        <v>25618.750100000001</v>
      </c>
      <c r="Y249" s="3">
        <v>43.9499</v>
      </c>
      <c r="Z249" s="3">
        <v>25574.800200000001</v>
      </c>
      <c r="AA249">
        <v>30</v>
      </c>
      <c r="AB249" t="b">
        <f t="shared" si="259"/>
        <v>1</v>
      </c>
      <c r="AC249" s="3">
        <v>6000000</v>
      </c>
      <c r="AD249" t="s">
        <v>45</v>
      </c>
      <c r="AE249" s="8">
        <v>46155.560022106481</v>
      </c>
      <c r="AF249" s="6">
        <f t="shared" ref="AF249" si="272">S249/AC249</f>
        <v>1.6677283002166667</v>
      </c>
      <c r="AG249" s="6" t="b">
        <f>+Tabla9[[#This Row],[CUMPLIMIENTO]]&lt;100%</f>
        <v>0</v>
      </c>
      <c r="AH249" s="12">
        <f>((( (Tabla9[[#This Row],[FTP_CIERRE_MES]]/100)+1)^(30/360) -1)*(36000/30))/36000</f>
        <v>1.2239493171416853E-4</v>
      </c>
      <c r="AI249" s="3">
        <f>Tabla9[[#This Row],[FTP_DIARIO]]*Tabla9[[#This Row],[SALDO_PROM_CORREGIDO]]*Tabla9[[#This Row],[DIAS]]</f>
        <v>36741.868456104952</v>
      </c>
      <c r="AJ249" s="3">
        <f>Tabla9[[#This Row],[REAL_FTP_MONTO]]-Tabla9[[#This Row],[INT_REAL]]</f>
        <v>25618.747356104952</v>
      </c>
      <c r="AK249" s="3">
        <f>Tabla9[[#This Row],[FTP_DIARIO]]*Tabla9[[#This Row],[COMPROMISO]]*Tabla9[[#This Row],[DIAS]]</f>
        <v>22031.087708550334</v>
      </c>
      <c r="AL249" s="13">
        <f>((( (Tabla9[[#This Row],[TASA_INT]])+1)^(30/360) -1)*(36000/30))/36000</f>
        <v>3.6995553942031914E-5</v>
      </c>
      <c r="AM249" s="3">
        <f>Tabla9[[#This Row],[TEA DIARIA]]*Tabla9[[#This Row],[SALDO_PROM_CORREGIDO]]*Tabla9[[#This Row],[DIAS]]</f>
        <v>11105.735812437399</v>
      </c>
      <c r="AN249" s="3">
        <f>Tabla9[[#This Row],[TEA DIARIA]]*Tabla9[[#This Row],[COMPROMISO]]*Tabla9[[#This Row],[DIAS]]</f>
        <v>6659.1997095657443</v>
      </c>
      <c r="AO249" s="14">
        <f>+Tabla9[[#This Row],[PROYECTADO_FTP_MONTO]]-Tabla9[[#This Row],[PROYECCION_INTERES]]</f>
        <v>15371.88799898459</v>
      </c>
      <c r="AP249" s="3">
        <f>Tabla9[[#This Row],[PROYECCION_MARGEN(FTP - Int compromiso)]]-Tabla9[[#This Row],[REAL_MARGEN(FTP - Int)]]</f>
        <v>-10246.859357120362</v>
      </c>
    </row>
    <row r="250" spans="1:42" x14ac:dyDescent="0.35">
      <c r="A250">
        <v>202604</v>
      </c>
      <c r="B250" s="7">
        <v>46142</v>
      </c>
      <c r="C250">
        <v>17048150</v>
      </c>
      <c r="D250" t="s">
        <v>29</v>
      </c>
      <c r="E250" t="s">
        <v>35</v>
      </c>
      <c r="F250" t="s">
        <v>214</v>
      </c>
      <c r="G250" t="s">
        <v>35</v>
      </c>
      <c r="H250" t="s">
        <v>518</v>
      </c>
      <c r="I250" t="s">
        <v>244</v>
      </c>
      <c r="J250" t="str">
        <f t="shared" ref="J250" si="273">IF(I250="SOLES","4.4963","3.388")</f>
        <v>3.388</v>
      </c>
      <c r="K250" t="s">
        <v>32</v>
      </c>
      <c r="L250" t="s">
        <v>33</v>
      </c>
      <c r="M250" t="s">
        <v>34</v>
      </c>
      <c r="N250" t="s">
        <v>455</v>
      </c>
      <c r="O250" t="s">
        <v>44</v>
      </c>
      <c r="P250" s="3">
        <v>2461900.0383000001</v>
      </c>
      <c r="Q250" s="3">
        <v>3050074.9909000001</v>
      </c>
      <c r="R250" s="4">
        <v>3.39E-2</v>
      </c>
      <c r="S250" s="3">
        <f>+Tabla9[[#This Row],[SAL_PROM_SOL]]</f>
        <v>2461900.0383000001</v>
      </c>
      <c r="T250" s="4">
        <v>1.9E-2</v>
      </c>
      <c r="U250" s="4">
        <v>1.49E-2</v>
      </c>
      <c r="V250" s="3">
        <v>6845.0972000000002</v>
      </c>
      <c r="W250" s="3">
        <v>3869.5187999999998</v>
      </c>
      <c r="X250" s="3">
        <v>2975.5783999999999</v>
      </c>
      <c r="Y250" s="3">
        <v>43.037500000000001</v>
      </c>
      <c r="Z250" s="3">
        <v>2932.5409</v>
      </c>
      <c r="AA250">
        <v>30</v>
      </c>
      <c r="AB250" t="b">
        <f t="shared" si="259"/>
        <v>1</v>
      </c>
      <c r="AC250" s="3">
        <v>680000</v>
      </c>
      <c r="AD250" t="s">
        <v>46</v>
      </c>
      <c r="AE250" s="8">
        <v>46155.560022106481</v>
      </c>
      <c r="AF250" s="6">
        <f t="shared" ref="AF250" si="274">S250/AC250</f>
        <v>3.6204412327941178</v>
      </c>
      <c r="AG250" s="6" t="b">
        <f>+Tabla9[[#This Row],[CUMPLIMIENTO]]&lt;100%</f>
        <v>0</v>
      </c>
      <c r="AH250" s="12">
        <f>((( (Tabla9[[#This Row],[FTP_CIERRE_MES]]/100)+1)^(30/360) -1)*(36000/30))/36000</f>
        <v>9.2680593701059222E-5</v>
      </c>
      <c r="AI250" s="3">
        <f>Tabla9[[#This Row],[FTP_DIARIO]]*Tabla9[[#This Row],[SALDO_PROM_CORREGIDO]]*Tabla9[[#This Row],[DIAS]]</f>
        <v>6845.1107154691335</v>
      </c>
      <c r="AJ250" s="3">
        <f>Tabla9[[#This Row],[REAL_FTP_MONTO]]-Tabla9[[#This Row],[INT_REAL]]</f>
        <v>2975.5919154691337</v>
      </c>
      <c r="AK250" s="3">
        <f>Tabla9[[#This Row],[FTP_DIARIO]]*Tabla9[[#This Row],[COMPROMISO]]*Tabla9[[#This Row],[DIAS]]</f>
        <v>1890.684111501608</v>
      </c>
      <c r="AL250" s="13">
        <f>((( (Tabla9[[#This Row],[TASA_INT]])+1)^(30/360) -1)*(36000/30))/36000</f>
        <v>5.2323674247123364E-5</v>
      </c>
      <c r="AM250" s="3">
        <f>Tabla9[[#This Row],[TEA DIARIA]]*Tabla9[[#This Row],[SALDO_PROM_CORREGIDO]]*Tabla9[[#This Row],[DIAS]]</f>
        <v>3864.4696689896923</v>
      </c>
      <c r="AN250" s="3">
        <f>Tabla9[[#This Row],[TEA DIARIA]]*Tabla9[[#This Row],[COMPROMISO]]*Tabla9[[#This Row],[DIAS]]</f>
        <v>1067.4029546413167</v>
      </c>
      <c r="AO250" s="14">
        <f>+Tabla9[[#This Row],[PROYECTADO_FTP_MONTO]]-Tabla9[[#This Row],[PROYECCION_INTERES]]</f>
        <v>823.28115686029128</v>
      </c>
      <c r="AP250" s="3">
        <f>Tabla9[[#This Row],[PROYECCION_MARGEN(FTP - Int compromiso)]]-Tabla9[[#This Row],[REAL_MARGEN(FTP - Int)]]</f>
        <v>-2152.3107586088427</v>
      </c>
    </row>
    <row r="251" spans="1:42" x14ac:dyDescent="0.35">
      <c r="A251">
        <v>202604</v>
      </c>
      <c r="B251" s="7">
        <v>46142</v>
      </c>
      <c r="C251">
        <v>17077071</v>
      </c>
      <c r="D251" t="s">
        <v>29</v>
      </c>
      <c r="E251" t="s">
        <v>30</v>
      </c>
      <c r="F251" t="s">
        <v>215</v>
      </c>
      <c r="G251" t="s">
        <v>30</v>
      </c>
      <c r="H251" t="s">
        <v>516</v>
      </c>
      <c r="I251" t="s">
        <v>244</v>
      </c>
      <c r="J251" t="str">
        <f t="shared" ref="J251:J256" si="275">IF(I251="SOLES","4.4963","3.388")</f>
        <v>3.388</v>
      </c>
      <c r="K251" t="s">
        <v>32</v>
      </c>
      <c r="L251" t="s">
        <v>33</v>
      </c>
      <c r="M251" t="s">
        <v>34</v>
      </c>
      <c r="N251" t="s">
        <v>456</v>
      </c>
      <c r="O251" t="s">
        <v>44</v>
      </c>
      <c r="P251" s="3">
        <v>185493.4498</v>
      </c>
      <c r="Q251" s="3">
        <v>26627.945599999999</v>
      </c>
      <c r="R251" s="4">
        <v>3.39E-2</v>
      </c>
      <c r="S251" s="3">
        <f>+Tabla9[[#This Row],[SAL_PROM_SOL]]</f>
        <v>185493.4498</v>
      </c>
      <c r="T251" s="4">
        <v>1.2999999999999999E-2</v>
      </c>
      <c r="U251" s="4">
        <v>2.0899999999999998E-2</v>
      </c>
      <c r="V251" s="3">
        <v>515.76139999999998</v>
      </c>
      <c r="W251" s="3">
        <v>199.7629</v>
      </c>
      <c r="X251" s="3">
        <v>315.99849999999998</v>
      </c>
      <c r="Y251" s="3">
        <v>0</v>
      </c>
      <c r="Z251" s="3">
        <v>315.99849999999998</v>
      </c>
      <c r="AA251">
        <v>30</v>
      </c>
      <c r="AB251" t="b">
        <f t="shared" ref="AB251:AB256" si="276">+AA251=30</f>
        <v>1</v>
      </c>
      <c r="AC251" s="3">
        <v>100000</v>
      </c>
      <c r="AD251" t="s">
        <v>46</v>
      </c>
      <c r="AE251" s="8">
        <v>46155.560022106481</v>
      </c>
      <c r="AF251" s="6">
        <f t="shared" ref="AF251:AF256" si="277">S251/AC251</f>
        <v>1.854934498</v>
      </c>
      <c r="AG251" s="6" t="b">
        <f>+Tabla9[[#This Row],[CUMPLIMIENTO]]&lt;100%</f>
        <v>0</v>
      </c>
      <c r="AH251" s="12">
        <f>((( (Tabla9[[#This Row],[FTP_CIERRE_MES]]/100)+1)^(30/360) -1)*(36000/30))/36000</f>
        <v>9.2680593701059222E-5</v>
      </c>
      <c r="AI251" s="3">
        <f>Tabla9[[#This Row],[FTP_DIARIO]]*Tabla9[[#This Row],[SALDO_PROM_CORREGIDO]]*Tabla9[[#This Row],[DIAS]]</f>
        <v>515.7492916536487</v>
      </c>
      <c r="AJ251" s="3">
        <f>Tabla9[[#This Row],[REAL_FTP_MONTO]]-Tabla9[[#This Row],[INT_REAL]]</f>
        <v>315.9863916536487</v>
      </c>
      <c r="AK251" s="3">
        <f>Tabla9[[#This Row],[FTP_DIARIO]]*Tabla9[[#This Row],[COMPROMISO]]*Tabla9[[#This Row],[DIAS]]</f>
        <v>278.04178110317764</v>
      </c>
      <c r="AL251" s="13">
        <f>((( (Tabla9[[#This Row],[TASA_INT]])+1)^(30/360) -1)*(36000/30))/36000</f>
        <v>3.5897719345356907E-5</v>
      </c>
      <c r="AM251" s="3">
        <f>Tabla9[[#This Row],[TEA DIARIA]]*Tabla9[[#This Row],[SALDO_PROM_CORREGIDO]]*Tabla9[[#This Row],[DIAS]]</f>
        <v>199.7637540396735</v>
      </c>
      <c r="AN251" s="3">
        <f>Tabla9[[#This Row],[TEA DIARIA]]*Tabla9[[#This Row],[COMPROMISO]]*Tabla9[[#This Row],[DIAS]]</f>
        <v>107.69315803607073</v>
      </c>
      <c r="AO251" s="14">
        <f>+Tabla9[[#This Row],[PROYECTADO_FTP_MONTO]]-Tabla9[[#This Row],[PROYECCION_INTERES]]</f>
        <v>170.34862306710693</v>
      </c>
      <c r="AP251" s="3">
        <f>Tabla9[[#This Row],[PROYECCION_MARGEN(FTP - Int compromiso)]]-Tabla9[[#This Row],[REAL_MARGEN(FTP - Int)]]</f>
        <v>-145.63776858654177</v>
      </c>
    </row>
    <row r="252" spans="1:42" x14ac:dyDescent="0.35">
      <c r="A252">
        <v>202604</v>
      </c>
      <c r="B252" s="7">
        <v>46142</v>
      </c>
      <c r="C252">
        <v>17077071</v>
      </c>
      <c r="D252" t="s">
        <v>29</v>
      </c>
      <c r="E252" t="s">
        <v>30</v>
      </c>
      <c r="F252" t="s">
        <v>215</v>
      </c>
      <c r="G252" t="s">
        <v>30</v>
      </c>
      <c r="H252" t="s">
        <v>516</v>
      </c>
      <c r="I252" t="s">
        <v>244</v>
      </c>
      <c r="J252" t="str">
        <f t="shared" si="275"/>
        <v>3.388</v>
      </c>
      <c r="K252" t="s">
        <v>32</v>
      </c>
      <c r="L252" t="s">
        <v>33</v>
      </c>
      <c r="M252" t="s">
        <v>34</v>
      </c>
      <c r="N252" t="s">
        <v>457</v>
      </c>
      <c r="O252" t="s">
        <v>44</v>
      </c>
      <c r="P252" s="3">
        <v>4135800.0123999999</v>
      </c>
      <c r="Q252" s="3">
        <v>1980520.1912</v>
      </c>
      <c r="R252" s="4">
        <v>3.39E-2</v>
      </c>
      <c r="S252" s="3">
        <f>+Tabla9[[#This Row],[SAL_PROM_SOL]]</f>
        <v>4135800.0123999999</v>
      </c>
      <c r="T252" s="4">
        <v>1.29E-2</v>
      </c>
      <c r="U252" s="4">
        <v>2.1000000000000001E-2</v>
      </c>
      <c r="V252" s="3">
        <v>11499.2413</v>
      </c>
      <c r="W252" s="3">
        <v>4429.0752000000002</v>
      </c>
      <c r="X252" s="3">
        <v>7070.1661000000004</v>
      </c>
      <c r="Y252" s="3">
        <v>0</v>
      </c>
      <c r="Z252" s="3">
        <v>7070.1661000000004</v>
      </c>
      <c r="AA252">
        <v>30</v>
      </c>
      <c r="AB252" t="b">
        <f t="shared" si="276"/>
        <v>1</v>
      </c>
      <c r="AC252" s="3">
        <v>900000</v>
      </c>
      <c r="AD252" t="s">
        <v>46</v>
      </c>
      <c r="AE252" s="8">
        <v>46155.560022106481</v>
      </c>
      <c r="AF252" s="6">
        <f t="shared" si="277"/>
        <v>4.5953333471111106</v>
      </c>
      <c r="AG252" s="6" t="b">
        <f>+Tabla9[[#This Row],[CUMPLIMIENTO]]&lt;100%</f>
        <v>0</v>
      </c>
      <c r="AH252" s="12">
        <f>((( (Tabla9[[#This Row],[FTP_CIERRE_MES]]/100)+1)^(30/360) -1)*(36000/30))/36000</f>
        <v>9.2680593701059222E-5</v>
      </c>
      <c r="AI252" s="3">
        <f>Tabla9[[#This Row],[FTP_DIARIO]]*Tabla9[[#This Row],[SALDO_PROM_CORREGIDO]]*Tabla9[[#This Row],[DIAS]]</f>
        <v>11499.252017342402</v>
      </c>
      <c r="AJ252" s="3">
        <f>Tabla9[[#This Row],[REAL_FTP_MONTO]]-Tabla9[[#This Row],[INT_REAL]]</f>
        <v>7070.1768173424016</v>
      </c>
      <c r="AK252" s="3">
        <f>Tabla9[[#This Row],[FTP_DIARIO]]*Tabla9[[#This Row],[COMPROMISO]]*Tabla9[[#This Row],[DIAS]]</f>
        <v>2502.3760299285991</v>
      </c>
      <c r="AL252" s="13">
        <f>((( (Tabla9[[#This Row],[TASA_INT]])+1)^(30/360) -1)*(36000/30))/36000</f>
        <v>3.5623198607089475E-5</v>
      </c>
      <c r="AM252" s="3">
        <f>Tabla9[[#This Row],[TEA DIARIA]]*Tabla9[[#This Row],[SALDO_PROM_CORREGIDO]]*Tabla9[[#This Row],[DIAS]]</f>
        <v>4419.9127572278494</v>
      </c>
      <c r="AN252" s="3">
        <f>Tabla9[[#This Row],[TEA DIARIA]]*Tabla9[[#This Row],[COMPROMISO]]*Tabla9[[#This Row],[DIAS]]</f>
        <v>961.82636239141573</v>
      </c>
      <c r="AO252" s="14">
        <f>+Tabla9[[#This Row],[PROYECTADO_FTP_MONTO]]-Tabla9[[#This Row],[PROYECCION_INTERES]]</f>
        <v>1540.5496675371833</v>
      </c>
      <c r="AP252" s="3">
        <f>Tabla9[[#This Row],[PROYECCION_MARGEN(FTP - Int compromiso)]]-Tabla9[[#This Row],[REAL_MARGEN(FTP - Int)]]</f>
        <v>-5529.6271498052183</v>
      </c>
    </row>
    <row r="253" spans="1:42" x14ac:dyDescent="0.35">
      <c r="A253">
        <v>202604</v>
      </c>
      <c r="B253" s="7">
        <v>46142</v>
      </c>
      <c r="C253">
        <v>17077071</v>
      </c>
      <c r="D253" t="s">
        <v>29</v>
      </c>
      <c r="E253" t="s">
        <v>30</v>
      </c>
      <c r="F253" t="s">
        <v>215</v>
      </c>
      <c r="G253" t="s">
        <v>30</v>
      </c>
      <c r="H253" t="s">
        <v>516</v>
      </c>
      <c r="I253" t="s">
        <v>243</v>
      </c>
      <c r="J253" t="str">
        <f t="shared" si="275"/>
        <v>4.4963</v>
      </c>
      <c r="K253" t="s">
        <v>32</v>
      </c>
      <c r="L253" t="s">
        <v>39</v>
      </c>
      <c r="M253" t="s">
        <v>31</v>
      </c>
      <c r="N253" t="s">
        <v>448</v>
      </c>
      <c r="O253" t="s">
        <v>44</v>
      </c>
      <c r="P253" s="3">
        <v>8153753.0794000002</v>
      </c>
      <c r="Q253" s="3">
        <v>5001348.71</v>
      </c>
      <c r="R253" s="4">
        <v>4.4999999999999998E-2</v>
      </c>
      <c r="S253" s="3">
        <f>+Tabla9[[#This Row],[SAL_PROM_SOL]]</f>
        <v>8153753.0794000002</v>
      </c>
      <c r="T253" s="4">
        <v>1.8499999999999999E-2</v>
      </c>
      <c r="U253" s="4">
        <v>2.6499999999999999E-2</v>
      </c>
      <c r="V253" s="3">
        <v>29939.339899999999</v>
      </c>
      <c r="W253" s="3">
        <v>12467.01</v>
      </c>
      <c r="X253" s="3">
        <v>17472.329900000001</v>
      </c>
      <c r="Y253" s="3">
        <v>0</v>
      </c>
      <c r="Z253" s="3">
        <v>17472.329900000001</v>
      </c>
      <c r="AA253">
        <v>30</v>
      </c>
      <c r="AB253" t="b">
        <f t="shared" si="276"/>
        <v>1</v>
      </c>
      <c r="AC253" s="3">
        <v>5000000</v>
      </c>
      <c r="AD253" t="s">
        <v>46</v>
      </c>
      <c r="AE253" s="8">
        <v>46155.560022106481</v>
      </c>
      <c r="AF253" s="6">
        <f t="shared" si="277"/>
        <v>1.63075061588</v>
      </c>
      <c r="AG253" s="6" t="b">
        <f>+Tabla9[[#This Row],[CUMPLIMIENTO]]&lt;100%</f>
        <v>0</v>
      </c>
      <c r="AH253" s="12">
        <f>((( (Tabla9[[#This Row],[FTP_CIERRE_MES]]/100)+1)^(30/360) -1)*(36000/30))/36000</f>
        <v>1.2239493171416853E-4</v>
      </c>
      <c r="AI253" s="3">
        <f>Tabla9[[#This Row],[FTP_DIARIO]]*Tabla9[[#This Row],[SALDO_PROM_CORREGIDO]]*Tabla9[[#This Row],[DIAS]]</f>
        <v>29939.341541020633</v>
      </c>
      <c r="AJ253" s="3">
        <f>Tabla9[[#This Row],[REAL_FTP_MONTO]]-Tabla9[[#This Row],[INT_REAL]]</f>
        <v>17472.331541020634</v>
      </c>
      <c r="AK253" s="3">
        <f>Tabla9[[#This Row],[FTP_DIARIO]]*Tabla9[[#This Row],[COMPROMISO]]*Tabla9[[#This Row],[DIAS]]</f>
        <v>18359.23975712528</v>
      </c>
      <c r="AL253" s="13">
        <f>((( (Tabla9[[#This Row],[TASA_INT]])+1)^(30/360) -1)*(36000/30))/36000</f>
        <v>5.0958235598708154E-5</v>
      </c>
      <c r="AM253" s="3">
        <f>Tabla9[[#This Row],[TEA DIARIA]]*Tabla9[[#This Row],[SALDO_PROM_CORREGIDO]]*Tabla9[[#This Row],[DIAS]]</f>
        <v>12465.02611301272</v>
      </c>
      <c r="AN253" s="3">
        <f>Tabla9[[#This Row],[TEA DIARIA]]*Tabla9[[#This Row],[COMPROMISO]]*Tabla9[[#This Row],[DIAS]]</f>
        <v>7643.7353398062232</v>
      </c>
      <c r="AO253" s="14">
        <f>+Tabla9[[#This Row],[PROYECTADO_FTP_MONTO]]-Tabla9[[#This Row],[PROYECCION_INTERES]]</f>
        <v>10715.504417319058</v>
      </c>
      <c r="AP253" s="3">
        <f>Tabla9[[#This Row],[PROYECCION_MARGEN(FTP - Int compromiso)]]-Tabla9[[#This Row],[REAL_MARGEN(FTP - Int)]]</f>
        <v>-6756.8271237015761</v>
      </c>
    </row>
    <row r="254" spans="1:42" x14ac:dyDescent="0.35">
      <c r="A254">
        <v>202604</v>
      </c>
      <c r="B254" s="7">
        <v>46142</v>
      </c>
      <c r="C254">
        <v>17077071</v>
      </c>
      <c r="D254" t="s">
        <v>29</v>
      </c>
      <c r="E254" t="s">
        <v>30</v>
      </c>
      <c r="F254" t="s">
        <v>215</v>
      </c>
      <c r="G254" t="s">
        <v>30</v>
      </c>
      <c r="H254" t="s">
        <v>516</v>
      </c>
      <c r="I254" t="s">
        <v>243</v>
      </c>
      <c r="J254" t="str">
        <f t="shared" si="275"/>
        <v>4.4963</v>
      </c>
      <c r="K254" t="s">
        <v>32</v>
      </c>
      <c r="L254" t="s">
        <v>33</v>
      </c>
      <c r="M254" t="s">
        <v>31</v>
      </c>
      <c r="N254" t="s">
        <v>458</v>
      </c>
      <c r="O254" t="s">
        <v>44</v>
      </c>
      <c r="P254" s="3">
        <v>2351834.4896999998</v>
      </c>
      <c r="Q254" s="3">
        <v>1560617.67</v>
      </c>
      <c r="R254" s="4">
        <v>4.4999999999999998E-2</v>
      </c>
      <c r="S254" s="3">
        <f>+Tabla9[[#This Row],[SAL_PROM_SOL]]</f>
        <v>2351834.4896999998</v>
      </c>
      <c r="T254" s="4">
        <v>1.7000000000000001E-2</v>
      </c>
      <c r="U254" s="4">
        <v>2.8000000000000001E-2</v>
      </c>
      <c r="V254" s="3">
        <v>8635.5810999999994</v>
      </c>
      <c r="W254" s="3">
        <v>3301.1311999999998</v>
      </c>
      <c r="X254" s="3">
        <v>5334.4498999999996</v>
      </c>
      <c r="Y254" s="3">
        <v>0</v>
      </c>
      <c r="Z254" s="3">
        <v>5334.4498999999996</v>
      </c>
      <c r="AA254">
        <v>30</v>
      </c>
      <c r="AB254" t="b">
        <f t="shared" si="276"/>
        <v>1</v>
      </c>
      <c r="AC254" s="3">
        <v>1000000</v>
      </c>
      <c r="AD254" t="s">
        <v>46</v>
      </c>
      <c r="AE254" s="8">
        <v>46155.560022106481</v>
      </c>
      <c r="AF254" s="6">
        <f t="shared" si="277"/>
        <v>2.3518344896999999</v>
      </c>
      <c r="AG254" s="6" t="b">
        <f>+Tabla9[[#This Row],[CUMPLIMIENTO]]&lt;100%</f>
        <v>0</v>
      </c>
      <c r="AH254" s="12">
        <f>((( (Tabla9[[#This Row],[FTP_CIERRE_MES]]/100)+1)^(30/360) -1)*(36000/30))/36000</f>
        <v>1.2239493171416853E-4</v>
      </c>
      <c r="AI254" s="3">
        <f>Tabla9[[#This Row],[FTP_DIARIO]]*Tabla9[[#This Row],[SALDO_PROM_CORREGIDO]]*Tabla9[[#This Row],[DIAS]]</f>
        <v>8635.5786530957357</v>
      </c>
      <c r="AJ254" s="3">
        <f>Tabla9[[#This Row],[REAL_FTP_MONTO]]-Tabla9[[#This Row],[INT_REAL]]</f>
        <v>5334.4474530957359</v>
      </c>
      <c r="AK254" s="3">
        <f>Tabla9[[#This Row],[FTP_DIARIO]]*Tabla9[[#This Row],[COMPROMISO]]*Tabla9[[#This Row],[DIAS]]</f>
        <v>3671.8479514250557</v>
      </c>
      <c r="AL254" s="13">
        <f>((( (Tabla9[[#This Row],[TASA_INT]])+1)^(30/360) -1)*(36000/30))/36000</f>
        <v>4.6858229756555995E-5</v>
      </c>
      <c r="AM254" s="3">
        <f>Tabla9[[#This Row],[TEA DIARIA]]*Tabla9[[#This Row],[SALDO_PROM_CORREGIDO]]*Tabla9[[#This Row],[DIAS]]</f>
        <v>3306.0840260326563</v>
      </c>
      <c r="AN254" s="3">
        <f>Tabla9[[#This Row],[TEA DIARIA]]*Tabla9[[#This Row],[COMPROMISO]]*Tabla9[[#This Row],[DIAS]]</f>
        <v>1405.7468926966799</v>
      </c>
      <c r="AO254" s="14">
        <f>+Tabla9[[#This Row],[PROYECTADO_FTP_MONTO]]-Tabla9[[#This Row],[PROYECCION_INTERES]]</f>
        <v>2266.1010587283758</v>
      </c>
      <c r="AP254" s="3">
        <f>Tabla9[[#This Row],[PROYECCION_MARGEN(FTP - Int compromiso)]]-Tabla9[[#This Row],[REAL_MARGEN(FTP - Int)]]</f>
        <v>-3068.3463943673601</v>
      </c>
    </row>
    <row r="255" spans="1:42" x14ac:dyDescent="0.35">
      <c r="A255">
        <v>202604</v>
      </c>
      <c r="B255" s="7">
        <v>46142</v>
      </c>
      <c r="C255">
        <v>17077071</v>
      </c>
      <c r="D255" t="s">
        <v>29</v>
      </c>
      <c r="E255" t="s">
        <v>30</v>
      </c>
      <c r="F255" t="s">
        <v>215</v>
      </c>
      <c r="G255" t="s">
        <v>30</v>
      </c>
      <c r="H255" t="s">
        <v>516</v>
      </c>
      <c r="I255" t="s">
        <v>243</v>
      </c>
      <c r="J255" t="str">
        <f t="shared" si="275"/>
        <v>4.4963</v>
      </c>
      <c r="K255" t="s">
        <v>32</v>
      </c>
      <c r="L255" t="s">
        <v>33</v>
      </c>
      <c r="M255" t="s">
        <v>31</v>
      </c>
      <c r="N255" t="s">
        <v>459</v>
      </c>
      <c r="O255" t="s">
        <v>44</v>
      </c>
      <c r="P255" s="3">
        <v>3157258.4889000002</v>
      </c>
      <c r="Q255" s="3">
        <v>2573661.81</v>
      </c>
      <c r="R255" s="4">
        <v>4.4999999999999998E-2</v>
      </c>
      <c r="S255" s="3">
        <f>+Tabla9[[#This Row],[SAL_PROM_SOL]]</f>
        <v>3157258.4889000002</v>
      </c>
      <c r="T255" s="4">
        <v>1.8800000000000001E-2</v>
      </c>
      <c r="U255" s="4">
        <v>2.6200000000000001E-2</v>
      </c>
      <c r="V255" s="3">
        <v>11592.9701</v>
      </c>
      <c r="W255" s="3">
        <v>4896.7412999999997</v>
      </c>
      <c r="X255" s="3">
        <v>6696.2287999999999</v>
      </c>
      <c r="Y255" s="3">
        <v>0</v>
      </c>
      <c r="Z255" s="3">
        <v>6696.2287999999999</v>
      </c>
      <c r="AA255">
        <v>30</v>
      </c>
      <c r="AB255" t="b">
        <f t="shared" si="276"/>
        <v>1</v>
      </c>
      <c r="AC255" s="3">
        <v>1000000</v>
      </c>
      <c r="AD255" t="s">
        <v>46</v>
      </c>
      <c r="AE255" s="8">
        <v>46155.560022106481</v>
      </c>
      <c r="AF255" s="6">
        <f t="shared" si="277"/>
        <v>3.1572584889000002</v>
      </c>
      <c r="AG255" s="6" t="b">
        <f>+Tabla9[[#This Row],[CUMPLIMIENTO]]&lt;100%</f>
        <v>0</v>
      </c>
      <c r="AH255" s="12">
        <f>((( (Tabla9[[#This Row],[FTP_CIERRE_MES]]/100)+1)^(30/360) -1)*(36000/30))/36000</f>
        <v>1.2239493171416853E-4</v>
      </c>
      <c r="AI255" s="3">
        <f>Tabla9[[#This Row],[FTP_DIARIO]]*Tabla9[[#This Row],[SALDO_PROM_CORREGIDO]]*Tabla9[[#This Row],[DIAS]]</f>
        <v>11592.973114586832</v>
      </c>
      <c r="AJ255" s="3">
        <f>Tabla9[[#This Row],[REAL_FTP_MONTO]]-Tabla9[[#This Row],[INT_REAL]]</f>
        <v>6696.2318145868321</v>
      </c>
      <c r="AK255" s="3">
        <f>Tabla9[[#This Row],[FTP_DIARIO]]*Tabla9[[#This Row],[COMPROMISO]]*Tabla9[[#This Row],[DIAS]]</f>
        <v>3671.8479514250557</v>
      </c>
      <c r="AL255" s="13">
        <f>((( (Tabla9[[#This Row],[TASA_INT]])+1)^(30/360) -1)*(36000/30))/36000</f>
        <v>5.1777572502379836E-5</v>
      </c>
      <c r="AM255" s="3">
        <f>Tabla9[[#This Row],[TEA DIARIA]]*Tabla9[[#This Row],[SALDO_PROM_CORREGIDO]]*Tabla9[[#This Row],[DIAS]]</f>
        <v>4904.2554095332189</v>
      </c>
      <c r="AN255" s="3">
        <f>Tabla9[[#This Row],[TEA DIARIA]]*Tabla9[[#This Row],[COMPROMISO]]*Tabla9[[#This Row],[DIAS]]</f>
        <v>1553.327175071395</v>
      </c>
      <c r="AO255" s="14">
        <f>+Tabla9[[#This Row],[PROYECTADO_FTP_MONTO]]-Tabla9[[#This Row],[PROYECCION_INTERES]]</f>
        <v>2118.5207763536609</v>
      </c>
      <c r="AP255" s="3">
        <f>Tabla9[[#This Row],[PROYECCION_MARGEN(FTP - Int compromiso)]]-Tabla9[[#This Row],[REAL_MARGEN(FTP - Int)]]</f>
        <v>-4577.7110382331712</v>
      </c>
    </row>
    <row r="256" spans="1:42" x14ac:dyDescent="0.35">
      <c r="A256">
        <v>202604</v>
      </c>
      <c r="B256" s="7">
        <v>46142</v>
      </c>
      <c r="C256">
        <v>17077071</v>
      </c>
      <c r="D256" t="s">
        <v>29</v>
      </c>
      <c r="E256" t="s">
        <v>30</v>
      </c>
      <c r="F256" t="s">
        <v>215</v>
      </c>
      <c r="G256" t="s">
        <v>30</v>
      </c>
      <c r="H256" t="s">
        <v>516</v>
      </c>
      <c r="I256" t="s">
        <v>243</v>
      </c>
      <c r="J256" t="str">
        <f t="shared" si="275"/>
        <v>4.4963</v>
      </c>
      <c r="K256" t="s">
        <v>32</v>
      </c>
      <c r="L256" t="s">
        <v>33</v>
      </c>
      <c r="M256" t="s">
        <v>31</v>
      </c>
      <c r="N256" t="s">
        <v>411</v>
      </c>
      <c r="O256" t="s">
        <v>44</v>
      </c>
      <c r="P256" s="3">
        <v>637653.49860000005</v>
      </c>
      <c r="Q256" s="3">
        <v>131581.66</v>
      </c>
      <c r="R256" s="4">
        <v>4.4999999999999998E-2</v>
      </c>
      <c r="S256" s="3">
        <f>+Tabla9[[#This Row],[SAL_PROM_SOL]]</f>
        <v>637653.49860000005</v>
      </c>
      <c r="T256" s="4">
        <v>1.8100000000000002E-2</v>
      </c>
      <c r="U256" s="4">
        <v>2.69E-2</v>
      </c>
      <c r="V256" s="3">
        <v>2341.3708000000001</v>
      </c>
      <c r="W256" s="3">
        <v>954.39959999999996</v>
      </c>
      <c r="X256" s="3">
        <v>1386.9712</v>
      </c>
      <c r="Y256" s="3">
        <v>0</v>
      </c>
      <c r="Z256" s="3">
        <v>1386.9712</v>
      </c>
      <c r="AA256">
        <v>30</v>
      </c>
      <c r="AB256" t="b">
        <f t="shared" si="276"/>
        <v>1</v>
      </c>
      <c r="AC256" s="3">
        <v>50000</v>
      </c>
      <c r="AD256" t="s">
        <v>46</v>
      </c>
      <c r="AE256" s="8">
        <v>46155.560022106481</v>
      </c>
      <c r="AF256" s="6">
        <f t="shared" si="277"/>
        <v>12.753069972</v>
      </c>
      <c r="AG256" s="6" t="b">
        <f>+Tabla9[[#This Row],[CUMPLIMIENTO]]&lt;100%</f>
        <v>0</v>
      </c>
      <c r="AH256" s="12">
        <f>((( (Tabla9[[#This Row],[FTP_CIERRE_MES]]/100)+1)^(30/360) -1)*(36000/30))/36000</f>
        <v>1.2239493171416853E-4</v>
      </c>
      <c r="AI256" s="3">
        <f>Tabla9[[#This Row],[FTP_DIARIO]]*Tabla9[[#This Row],[SALDO_PROM_CORREGIDO]]*Tabla9[[#This Row],[DIAS]]</f>
        <v>2341.3666925534299</v>
      </c>
      <c r="AJ256" s="3">
        <f>Tabla9[[#This Row],[REAL_FTP_MONTO]]-Tabla9[[#This Row],[INT_REAL]]</f>
        <v>1386.9670925534299</v>
      </c>
      <c r="AK256" s="3">
        <f>Tabla9[[#This Row],[FTP_DIARIO]]*Tabla9[[#This Row],[COMPROMISO]]*Tabla9[[#This Row],[DIAS]]</f>
        <v>183.59239757125277</v>
      </c>
      <c r="AL256" s="13">
        <f>((( (Tabla9[[#This Row],[TASA_INT]])+1)^(30/360) -1)*(36000/30))/36000</f>
        <v>4.9865442197990123E-5</v>
      </c>
      <c r="AM256" s="3">
        <f>Tabla9[[#This Row],[TEA DIARIA]]*Tabla9[[#This Row],[SALDO_PROM_CORREGIDO]]*Tabla9[[#This Row],[DIAS]]</f>
        <v>953.90621030353441</v>
      </c>
      <c r="AN256" s="3">
        <f>Tabla9[[#This Row],[TEA DIARIA]]*Tabla9[[#This Row],[COMPROMISO]]*Tabla9[[#This Row],[DIAS]]</f>
        <v>74.79816329698518</v>
      </c>
      <c r="AO256" s="14">
        <f>+Tabla9[[#This Row],[PROYECTADO_FTP_MONTO]]-Tabla9[[#This Row],[PROYECCION_INTERES]]</f>
        <v>108.79423427426759</v>
      </c>
      <c r="AP256" s="3">
        <f>Tabla9[[#This Row],[PROYECCION_MARGEN(FTP - Int compromiso)]]-Tabla9[[#This Row],[REAL_MARGEN(FTP - Int)]]</f>
        <v>-1278.1728582791623</v>
      </c>
    </row>
    <row r="257" spans="1:42" x14ac:dyDescent="0.35">
      <c r="A257">
        <v>202604</v>
      </c>
      <c r="B257" s="7">
        <v>46142</v>
      </c>
      <c r="C257">
        <v>17284725</v>
      </c>
      <c r="D257" t="s">
        <v>36</v>
      </c>
      <c r="E257" t="s">
        <v>38</v>
      </c>
      <c r="F257" t="s">
        <v>216</v>
      </c>
      <c r="G257" t="s">
        <v>38</v>
      </c>
      <c r="H257" t="s">
        <v>528</v>
      </c>
      <c r="I257" t="s">
        <v>244</v>
      </c>
      <c r="J257" t="str">
        <f t="shared" ref="J257" si="278">IF(I257="SOLES","4.4963","3.388")</f>
        <v>3.388</v>
      </c>
      <c r="K257" t="s">
        <v>32</v>
      </c>
      <c r="L257" t="s">
        <v>33</v>
      </c>
      <c r="M257" t="s">
        <v>34</v>
      </c>
      <c r="N257" t="s">
        <v>460</v>
      </c>
      <c r="O257" t="s">
        <v>44</v>
      </c>
      <c r="P257" s="3">
        <v>52208197.332500003</v>
      </c>
      <c r="Q257" s="3">
        <v>52956897.851599999</v>
      </c>
      <c r="R257" s="4">
        <v>3.39E-2</v>
      </c>
      <c r="S257" s="3">
        <f>+Tabla9[[#This Row],[SAL_PROM_SOL]]</f>
        <v>52208197.332500003</v>
      </c>
      <c r="T257" s="4">
        <v>2.1899999999999999E-2</v>
      </c>
      <c r="U257" s="4">
        <v>1.2E-2</v>
      </c>
      <c r="V257" s="3">
        <v>145160.59839999999</v>
      </c>
      <c r="W257" s="3">
        <v>94331.073000000004</v>
      </c>
      <c r="X257" s="3">
        <v>50829.525399999999</v>
      </c>
      <c r="Y257" s="3">
        <v>42.8309</v>
      </c>
      <c r="Z257" s="3">
        <v>50786.694499999998</v>
      </c>
      <c r="AA257">
        <v>30</v>
      </c>
      <c r="AB257" t="b">
        <f t="shared" ref="AB257:AB289" si="279">+AA257=30</f>
        <v>1</v>
      </c>
      <c r="AC257" s="3">
        <v>15000000</v>
      </c>
      <c r="AD257" t="s">
        <v>46</v>
      </c>
      <c r="AE257" s="8">
        <v>46155.560022106481</v>
      </c>
      <c r="AF257" s="6">
        <f t="shared" ref="AF257" si="280">S257/AC257</f>
        <v>3.4805464888333337</v>
      </c>
      <c r="AG257" s="6" t="b">
        <f>+Tabla9[[#This Row],[CUMPLIMIENTO]]&lt;100%</f>
        <v>0</v>
      </c>
      <c r="AH257" s="12">
        <f>((( (Tabla9[[#This Row],[FTP_CIERRE_MES]]/100)+1)^(30/360) -1)*(36000/30))/36000</f>
        <v>9.2680593701059222E-5</v>
      </c>
      <c r="AI257" s="3">
        <f>Tabla9[[#This Row],[FTP_DIARIO]]*Tabla9[[#This Row],[SALDO_PROM_CORREGIDO]]*Tabla9[[#This Row],[DIAS]]</f>
        <v>145160.6017451447</v>
      </c>
      <c r="AJ257" s="3">
        <f>Tabla9[[#This Row],[REAL_FTP_MONTO]]-Tabla9[[#This Row],[INT_REAL]]</f>
        <v>50829.528745144693</v>
      </c>
      <c r="AK257" s="3">
        <f>Tabla9[[#This Row],[FTP_DIARIO]]*Tabla9[[#This Row],[COMPROMISO]]*Tabla9[[#This Row],[DIAS]]</f>
        <v>41706.267165476653</v>
      </c>
      <c r="AL257" s="13">
        <f>((( (Tabla9[[#This Row],[TASA_INT]])+1)^(30/360) -1)*(36000/30))/36000</f>
        <v>6.0231128135653421E-5</v>
      </c>
      <c r="AM257" s="3">
        <f>Tabla9[[#This Row],[TEA DIARIA]]*Tabla9[[#This Row],[SALDO_PROM_CORREGIDO]]*Tabla9[[#This Row],[DIAS]]</f>
        <v>94336.758697958605</v>
      </c>
      <c r="AN257" s="3">
        <f>Tabla9[[#This Row],[TEA DIARIA]]*Tabla9[[#This Row],[COMPROMISO]]*Tabla9[[#This Row],[DIAS]]</f>
        <v>27104.007661044041</v>
      </c>
      <c r="AO257" s="14">
        <f>+Tabla9[[#This Row],[PROYECTADO_FTP_MONTO]]-Tabla9[[#This Row],[PROYECCION_INTERES]]</f>
        <v>14602.259504432612</v>
      </c>
      <c r="AP257" s="3">
        <f>Tabla9[[#This Row],[PROYECCION_MARGEN(FTP - Int compromiso)]]-Tabla9[[#This Row],[REAL_MARGEN(FTP - Int)]]</f>
        <v>-36227.269240712078</v>
      </c>
    </row>
    <row r="258" spans="1:42" x14ac:dyDescent="0.35">
      <c r="A258">
        <v>202604</v>
      </c>
      <c r="B258" s="7">
        <v>46142</v>
      </c>
      <c r="C258">
        <v>17565379</v>
      </c>
      <c r="D258" t="s">
        <v>36</v>
      </c>
      <c r="E258" t="s">
        <v>37</v>
      </c>
      <c r="F258" t="s">
        <v>217</v>
      </c>
      <c r="G258" t="s">
        <v>37</v>
      </c>
      <c r="H258" t="s">
        <v>498</v>
      </c>
      <c r="I258" t="s">
        <v>244</v>
      </c>
      <c r="J258" t="str">
        <f t="shared" ref="J258" si="281">IF(I258="SOLES","4.4963","3.388")</f>
        <v>3.388</v>
      </c>
      <c r="K258" t="s">
        <v>32</v>
      </c>
      <c r="L258" t="s">
        <v>33</v>
      </c>
      <c r="M258" t="s">
        <v>34</v>
      </c>
      <c r="N258" t="s">
        <v>285</v>
      </c>
      <c r="O258" t="s">
        <v>44</v>
      </c>
      <c r="P258" s="3">
        <v>925574.08100000001</v>
      </c>
      <c r="Q258" s="3">
        <v>361566.45110000001</v>
      </c>
      <c r="R258" s="4">
        <v>3.39E-2</v>
      </c>
      <c r="S258" s="3">
        <f>+Tabla9[[#This Row],[SAL_PROM_SOL]]</f>
        <v>925574.08100000001</v>
      </c>
      <c r="T258" s="4">
        <v>3.5000000000000001E-3</v>
      </c>
      <c r="U258" s="4">
        <v>3.04E-2</v>
      </c>
      <c r="V258" s="3">
        <v>2573.4704000000002</v>
      </c>
      <c r="W258" s="3">
        <v>269.6558</v>
      </c>
      <c r="X258" s="3">
        <v>2303.8146000000002</v>
      </c>
      <c r="Y258" s="3">
        <v>41.3504</v>
      </c>
      <c r="Z258" s="3">
        <v>2262.4641999999999</v>
      </c>
      <c r="AA258">
        <v>30</v>
      </c>
      <c r="AB258" t="b">
        <f t="shared" si="279"/>
        <v>1</v>
      </c>
      <c r="AC258" s="3">
        <v>15000000</v>
      </c>
      <c r="AD258" t="s">
        <v>46</v>
      </c>
      <c r="AE258" s="8">
        <v>46155.560022106481</v>
      </c>
      <c r="AF258" s="6">
        <f t="shared" ref="AF258" si="282">S258/AC258</f>
        <v>6.1704938733333332E-2</v>
      </c>
      <c r="AG258" s="6" t="b">
        <f>+Tabla9[[#This Row],[CUMPLIMIENTO]]&lt;100%</f>
        <v>1</v>
      </c>
      <c r="AH258" s="12">
        <f>((( (Tabla9[[#This Row],[FTP_CIERRE_MES]]/100)+1)^(30/360) -1)*(36000/30))/36000</f>
        <v>9.2680593701059222E-5</v>
      </c>
      <c r="AI258" s="3">
        <f>Tabla9[[#This Row],[FTP_DIARIO]]*Tabla9[[#This Row],[SALDO_PROM_CORREGIDO]]*Tabla9[[#This Row],[DIAS]]</f>
        <v>2573.4826602417684</v>
      </c>
      <c r="AJ258" s="3">
        <f>Tabla9[[#This Row],[REAL_FTP_MONTO]]-Tabla9[[#This Row],[INT_REAL]]</f>
        <v>2303.8268602417684</v>
      </c>
      <c r="AK258" s="3">
        <f>Tabla9[[#This Row],[FTP_DIARIO]]*Tabla9[[#This Row],[COMPROMISO]]*Tabla9[[#This Row],[DIAS]]</f>
        <v>41706.267165476653</v>
      </c>
      <c r="AL258" s="13">
        <f>((( (Tabla9[[#This Row],[TASA_INT]])+1)^(30/360) -1)*(36000/30))/36000</f>
        <v>9.7066609431835826E-6</v>
      </c>
      <c r="AM258" s="3">
        <f>Tabla9[[#This Row],[TEA DIARIA]]*Tabla9[[#This Row],[SALDO_PROM_CORREGIDO]]*Tabla9[[#This Row],[DIAS]]</f>
        <v>269.52701346197216</v>
      </c>
      <c r="AN258" s="3">
        <f>Tabla9[[#This Row],[TEA DIARIA]]*Tabla9[[#This Row],[COMPROMISO]]*Tabla9[[#This Row],[DIAS]]</f>
        <v>4367.9974244326122</v>
      </c>
      <c r="AO258" s="14">
        <f>+Tabla9[[#This Row],[PROYECTADO_FTP_MONTO]]-Tabla9[[#This Row],[PROYECCION_INTERES]]</f>
        <v>37338.269741044038</v>
      </c>
      <c r="AP258" s="3">
        <f>Tabla9[[#This Row],[PROYECCION_MARGEN(FTP - Int compromiso)]]-Tabla9[[#This Row],[REAL_MARGEN(FTP - Int)]]</f>
        <v>35034.442880802271</v>
      </c>
    </row>
    <row r="259" spans="1:42" x14ac:dyDescent="0.35">
      <c r="A259">
        <v>202604</v>
      </c>
      <c r="B259" s="7">
        <v>46142</v>
      </c>
      <c r="C259">
        <v>17784360</v>
      </c>
      <c r="D259" t="s">
        <v>36</v>
      </c>
      <c r="E259" t="s">
        <v>37</v>
      </c>
      <c r="F259" t="s">
        <v>218</v>
      </c>
      <c r="G259" t="s">
        <v>37</v>
      </c>
      <c r="H259" t="s">
        <v>498</v>
      </c>
      <c r="I259" t="s">
        <v>243</v>
      </c>
      <c r="J259" t="str">
        <f t="shared" ref="J259" si="283">IF(I259="SOLES","4.4963","3.388")</f>
        <v>4.4963</v>
      </c>
      <c r="K259" t="s">
        <v>32</v>
      </c>
      <c r="L259" t="s">
        <v>33</v>
      </c>
      <c r="M259" t="s">
        <v>31</v>
      </c>
      <c r="N259" t="s">
        <v>461</v>
      </c>
      <c r="O259" t="s">
        <v>44</v>
      </c>
      <c r="P259" s="3">
        <v>6390049.0711000003</v>
      </c>
      <c r="Q259" s="3">
        <v>7238092.6100000003</v>
      </c>
      <c r="R259" s="4">
        <v>4.4999999999999998E-2</v>
      </c>
      <c r="S259" s="3">
        <f>+Tabla9[[#This Row],[SAL_PROM_SOL]]</f>
        <v>6390049.0711000003</v>
      </c>
      <c r="T259" s="4">
        <v>1.09E-2</v>
      </c>
      <c r="U259" s="4">
        <v>3.4099999999999998E-2</v>
      </c>
      <c r="V259" s="3">
        <v>23463.291000000001</v>
      </c>
      <c r="W259" s="3">
        <v>5758.6895000000004</v>
      </c>
      <c r="X259" s="3">
        <v>17704.601500000001</v>
      </c>
      <c r="Y259" s="3">
        <v>43.9499</v>
      </c>
      <c r="Z259" s="3">
        <v>17660.651600000001</v>
      </c>
      <c r="AA259">
        <v>30</v>
      </c>
      <c r="AB259" t="b">
        <f t="shared" si="279"/>
        <v>1</v>
      </c>
      <c r="AC259" s="3">
        <v>15000000</v>
      </c>
      <c r="AD259" t="s">
        <v>46</v>
      </c>
      <c r="AE259" s="8">
        <v>46155.560022106481</v>
      </c>
      <c r="AF259" s="6">
        <f t="shared" ref="AF259" si="284">S259/AC259</f>
        <v>0.42600327140666666</v>
      </c>
      <c r="AG259" s="6" t="b">
        <f>+Tabla9[[#This Row],[CUMPLIMIENTO]]&lt;100%</f>
        <v>1</v>
      </c>
      <c r="AH259" s="12">
        <f>((( (Tabla9[[#This Row],[FTP_CIERRE_MES]]/100)+1)^(30/360) -1)*(36000/30))/36000</f>
        <v>1.2239493171416853E-4</v>
      </c>
      <c r="AI259" s="3">
        <f>Tabla9[[#This Row],[FTP_DIARIO]]*Tabla9[[#This Row],[SALDO_PROM_CORREGIDO]]*Tabla9[[#This Row],[DIAS]]</f>
        <v>23463.288591224114</v>
      </c>
      <c r="AJ259" s="3">
        <f>Tabla9[[#This Row],[REAL_FTP_MONTO]]-Tabla9[[#This Row],[INT_REAL]]</f>
        <v>17704.599091224114</v>
      </c>
      <c r="AK259" s="3">
        <f>Tabla9[[#This Row],[FTP_DIARIO]]*Tabla9[[#This Row],[COMPROMISO]]*Tabla9[[#This Row],[DIAS]]</f>
        <v>55077.719271375834</v>
      </c>
      <c r="AL259" s="13">
        <f>((( (Tabla9[[#This Row],[TASA_INT]])+1)^(30/360) -1)*(36000/30))/36000</f>
        <v>3.0127560121854617E-5</v>
      </c>
      <c r="AM259" s="3">
        <f>Tabla9[[#This Row],[TEA DIARIA]]*Tabla9[[#This Row],[SALDO_PROM_CORREGIDO]]*Tabla9[[#This Row],[DIAS]]</f>
        <v>5775.4976271349951</v>
      </c>
      <c r="AN259" s="3">
        <f>Tabla9[[#This Row],[TEA DIARIA]]*Tabla9[[#This Row],[COMPROMISO]]*Tabla9[[#This Row],[DIAS]]</f>
        <v>13557.402054834578</v>
      </c>
      <c r="AO259" s="14">
        <f>+Tabla9[[#This Row],[PROYECTADO_FTP_MONTO]]-Tabla9[[#This Row],[PROYECCION_INTERES]]</f>
        <v>41520.317216541254</v>
      </c>
      <c r="AP259" s="3">
        <f>Tabla9[[#This Row],[PROYECCION_MARGEN(FTP - Int compromiso)]]-Tabla9[[#This Row],[REAL_MARGEN(FTP - Int)]]</f>
        <v>23815.71812531714</v>
      </c>
    </row>
    <row r="260" spans="1:42" x14ac:dyDescent="0.35">
      <c r="A260">
        <v>202604</v>
      </c>
      <c r="B260" s="7">
        <v>46142</v>
      </c>
      <c r="C260">
        <v>18169316</v>
      </c>
      <c r="D260" t="s">
        <v>36</v>
      </c>
      <c r="E260" t="s">
        <v>37</v>
      </c>
      <c r="F260" t="s">
        <v>219</v>
      </c>
      <c r="G260" t="s">
        <v>37</v>
      </c>
      <c r="H260" t="s">
        <v>498</v>
      </c>
      <c r="I260" t="s">
        <v>244</v>
      </c>
      <c r="J260" t="str">
        <f t="shared" ref="J260" si="285">IF(I260="SOLES","4.4963","3.388")</f>
        <v>3.388</v>
      </c>
      <c r="K260" t="s">
        <v>32</v>
      </c>
      <c r="L260" t="s">
        <v>33</v>
      </c>
      <c r="M260" t="s">
        <v>34</v>
      </c>
      <c r="N260" t="s">
        <v>462</v>
      </c>
      <c r="O260" t="s">
        <v>44</v>
      </c>
      <c r="P260" s="3">
        <v>1178090.3115000001</v>
      </c>
      <c r="Q260" s="3">
        <v>862906.18449999997</v>
      </c>
      <c r="R260" s="4">
        <v>3.39E-2</v>
      </c>
      <c r="S260" s="3">
        <f>+Tabla9[[#This Row],[SAL_PROM_SOL]]</f>
        <v>1178090.3115000001</v>
      </c>
      <c r="T260" s="4">
        <v>3.5000000000000001E-3</v>
      </c>
      <c r="U260" s="4">
        <v>3.04E-2</v>
      </c>
      <c r="V260" s="3">
        <v>3275.5668999999998</v>
      </c>
      <c r="W260" s="3">
        <v>343.06049999999999</v>
      </c>
      <c r="X260" s="3">
        <v>2932.5064000000002</v>
      </c>
      <c r="Y260" s="3">
        <v>33.500399999999999</v>
      </c>
      <c r="Z260" s="3">
        <v>2899.0059999999999</v>
      </c>
      <c r="AA260">
        <v>30</v>
      </c>
      <c r="AB260" t="b">
        <f t="shared" si="279"/>
        <v>1</v>
      </c>
      <c r="AC260" s="3">
        <v>15000000</v>
      </c>
      <c r="AD260" t="s">
        <v>46</v>
      </c>
      <c r="AE260" s="8">
        <v>46155.560022106481</v>
      </c>
      <c r="AF260" s="6">
        <f t="shared" ref="AF260" si="286">S260/AC260</f>
        <v>7.85393541E-2</v>
      </c>
      <c r="AG260" s="6" t="b">
        <f>+Tabla9[[#This Row],[CUMPLIMIENTO]]&lt;100%</f>
        <v>1</v>
      </c>
      <c r="AH260" s="12">
        <f>((( (Tabla9[[#This Row],[FTP_CIERRE_MES]]/100)+1)^(30/360) -1)*(36000/30))/36000</f>
        <v>9.2680593701059222E-5</v>
      </c>
      <c r="AI260" s="3">
        <f>Tabla9[[#This Row],[FTP_DIARIO]]*Tabla9[[#This Row],[SALDO_PROM_CORREGIDO]]*Tabla9[[#This Row],[DIAS]]</f>
        <v>3275.5832850985744</v>
      </c>
      <c r="AJ260" s="3">
        <f>Tabla9[[#This Row],[REAL_FTP_MONTO]]-Tabla9[[#This Row],[INT_REAL]]</f>
        <v>2932.5227850985743</v>
      </c>
      <c r="AK260" s="3">
        <f>Tabla9[[#This Row],[FTP_DIARIO]]*Tabla9[[#This Row],[COMPROMISO]]*Tabla9[[#This Row],[DIAS]]</f>
        <v>41706.267165476653</v>
      </c>
      <c r="AL260" s="13">
        <f>((( (Tabla9[[#This Row],[TASA_INT]])+1)^(30/360) -1)*(36000/30))/36000</f>
        <v>9.7066609431835826E-6</v>
      </c>
      <c r="AM260" s="3">
        <f>Tabla9[[#This Row],[TEA DIARIA]]*Tabla9[[#This Row],[SALDO_PROM_CORREGIDO]]*Tabla9[[#This Row],[DIAS]]</f>
        <v>343.05969642540094</v>
      </c>
      <c r="AN260" s="3">
        <f>Tabla9[[#This Row],[TEA DIARIA]]*Tabla9[[#This Row],[COMPROMISO]]*Tabla9[[#This Row],[DIAS]]</f>
        <v>4367.9974244326122</v>
      </c>
      <c r="AO260" s="14">
        <f>+Tabla9[[#This Row],[PROYECTADO_FTP_MONTO]]-Tabla9[[#This Row],[PROYECCION_INTERES]]</f>
        <v>37338.269741044038</v>
      </c>
      <c r="AP260" s="3">
        <f>Tabla9[[#This Row],[PROYECCION_MARGEN(FTP - Int compromiso)]]-Tabla9[[#This Row],[REAL_MARGEN(FTP - Int)]]</f>
        <v>34405.746955945462</v>
      </c>
    </row>
    <row r="261" spans="1:42" x14ac:dyDescent="0.35">
      <c r="A261">
        <v>202604</v>
      </c>
      <c r="B261" s="7">
        <v>46142</v>
      </c>
      <c r="C261">
        <v>18219377</v>
      </c>
      <c r="D261" t="s">
        <v>36</v>
      </c>
      <c r="E261" t="s">
        <v>38</v>
      </c>
      <c r="F261" t="s">
        <v>220</v>
      </c>
      <c r="G261" t="s">
        <v>38</v>
      </c>
      <c r="H261" t="s">
        <v>528</v>
      </c>
      <c r="I261" t="s">
        <v>243</v>
      </c>
      <c r="J261" t="str">
        <f t="shared" ref="J261" si="287">IF(I261="SOLES","4.4963","3.388")</f>
        <v>4.4963</v>
      </c>
      <c r="K261" t="s">
        <v>32</v>
      </c>
      <c r="L261" t="s">
        <v>33</v>
      </c>
      <c r="M261" t="s">
        <v>31</v>
      </c>
      <c r="N261" t="s">
        <v>463</v>
      </c>
      <c r="O261" t="s">
        <v>44</v>
      </c>
      <c r="P261" s="3">
        <v>38423594.148400001</v>
      </c>
      <c r="Q261" s="3">
        <v>15343571.83</v>
      </c>
      <c r="R261" s="4">
        <v>4.4999999999999998E-2</v>
      </c>
      <c r="S261" s="3">
        <f>+Tabla9[[#This Row],[SAL_PROM_SOL]]</f>
        <v>38423594.148400001</v>
      </c>
      <c r="T261" s="4">
        <v>3.85E-2</v>
      </c>
      <c r="U261" s="4">
        <v>6.4999999999999997E-3</v>
      </c>
      <c r="V261" s="3">
        <v>141085.60140000001</v>
      </c>
      <c r="W261" s="3">
        <v>121224.94160000001</v>
      </c>
      <c r="X261" s="3">
        <v>19860.659800000001</v>
      </c>
      <c r="Y261" s="3">
        <v>43.9499</v>
      </c>
      <c r="Z261" s="3">
        <v>19816.709900000002</v>
      </c>
      <c r="AA261">
        <v>30</v>
      </c>
      <c r="AB261" t="b">
        <f t="shared" si="279"/>
        <v>1</v>
      </c>
      <c r="AC261" s="3">
        <v>20000000</v>
      </c>
      <c r="AD261" t="s">
        <v>46</v>
      </c>
      <c r="AE261" s="8">
        <v>46155.560022106481</v>
      </c>
      <c r="AF261" s="6">
        <f t="shared" ref="AF261" si="288">S261/AC261</f>
        <v>1.9211797074200001</v>
      </c>
      <c r="AG261" s="6" t="b">
        <f>+Tabla9[[#This Row],[CUMPLIMIENTO]]&lt;100%</f>
        <v>0</v>
      </c>
      <c r="AH261" s="12">
        <f>((( (Tabla9[[#This Row],[FTP_CIERRE_MES]]/100)+1)^(30/360) -1)*(36000/30))/36000</f>
        <v>1.2239493171416853E-4</v>
      </c>
      <c r="AI261" s="3">
        <f>Tabla9[[#This Row],[FTP_DIARIO]]*Tabla9[[#This Row],[SALDO_PROM_CORREGIDO]]*Tabla9[[#This Row],[DIAS]]</f>
        <v>141085.59546019032</v>
      </c>
      <c r="AJ261" s="3">
        <f>Tabla9[[#This Row],[REAL_FTP_MONTO]]-Tabla9[[#This Row],[INT_REAL]]</f>
        <v>19860.653860190316</v>
      </c>
      <c r="AK261" s="3">
        <f>Tabla9[[#This Row],[FTP_DIARIO]]*Tabla9[[#This Row],[COMPROMISO]]*Tabla9[[#This Row],[DIAS]]</f>
        <v>73436.959028501122</v>
      </c>
      <c r="AL261" s="13">
        <f>((( (Tabla9[[#This Row],[TASA_INT]])+1)^(30/360) -1)*(36000/30))/36000</f>
        <v>1.0510247361579979E-4</v>
      </c>
      <c r="AM261" s="3">
        <f>Tabla9[[#This Row],[TEA DIARIA]]*Tabla9[[#This Row],[SALDO_PROM_CORREGIDO]]*Tabla9[[#This Row],[DIAS]]</f>
        <v>121152.44370619231</v>
      </c>
      <c r="AN261" s="3">
        <f>Tabla9[[#This Row],[TEA DIARIA]]*Tabla9[[#This Row],[COMPROMISO]]*Tabla9[[#This Row],[DIAS]]</f>
        <v>63061.484169479874</v>
      </c>
      <c r="AO261" s="14">
        <f>+Tabla9[[#This Row],[PROYECTADO_FTP_MONTO]]-Tabla9[[#This Row],[PROYECCION_INTERES]]</f>
        <v>10375.474859021248</v>
      </c>
      <c r="AP261" s="3">
        <f>Tabla9[[#This Row],[PROYECCION_MARGEN(FTP - Int compromiso)]]-Tabla9[[#This Row],[REAL_MARGEN(FTP - Int)]]</f>
        <v>-9485.1790011690682</v>
      </c>
    </row>
    <row r="262" spans="1:42" x14ac:dyDescent="0.35">
      <c r="A262">
        <v>202604</v>
      </c>
      <c r="B262" s="7">
        <v>46142</v>
      </c>
      <c r="C262">
        <v>18357651</v>
      </c>
      <c r="D262" t="s">
        <v>36</v>
      </c>
      <c r="E262" t="s">
        <v>37</v>
      </c>
      <c r="F262" t="s">
        <v>221</v>
      </c>
      <c r="G262" t="s">
        <v>37</v>
      </c>
      <c r="H262" t="s">
        <v>498</v>
      </c>
      <c r="I262" t="s">
        <v>243</v>
      </c>
      <c r="J262" t="str">
        <f t="shared" ref="J262:J263" si="289">IF(I262="SOLES","4.4963","3.388")</f>
        <v>4.4963</v>
      </c>
      <c r="K262" t="s">
        <v>32</v>
      </c>
      <c r="L262" t="s">
        <v>33</v>
      </c>
      <c r="M262" t="s">
        <v>31</v>
      </c>
      <c r="N262" t="s">
        <v>464</v>
      </c>
      <c r="O262" t="s">
        <v>44</v>
      </c>
      <c r="P262" s="3">
        <v>458214.04100000003</v>
      </c>
      <c r="Q262" s="3">
        <v>575609.56000000006</v>
      </c>
      <c r="R262" s="4">
        <v>4.4999999999999998E-2</v>
      </c>
      <c r="S262" s="3">
        <f>+Tabla9[[#This Row],[SAL_PROM_SOL]]</f>
        <v>458214.04100000003</v>
      </c>
      <c r="T262" s="4">
        <v>2E-3</v>
      </c>
      <c r="U262" s="4">
        <v>4.2999999999999997E-2</v>
      </c>
      <c r="V262" s="3">
        <v>1682.4908</v>
      </c>
      <c r="W262" s="3">
        <v>78.169899999999998</v>
      </c>
      <c r="X262" s="3">
        <v>1604.3208999999999</v>
      </c>
      <c r="Y262" s="3">
        <v>0</v>
      </c>
      <c r="Z262" s="3">
        <v>1604.3208999999999</v>
      </c>
      <c r="AA262">
        <v>30</v>
      </c>
      <c r="AB262" t="b">
        <f t="shared" si="279"/>
        <v>1</v>
      </c>
      <c r="AC262" s="3">
        <v>50000000</v>
      </c>
      <c r="AD262" t="s">
        <v>46</v>
      </c>
      <c r="AE262" s="8">
        <v>46155.560022106481</v>
      </c>
      <c r="AF262" s="6">
        <f t="shared" ref="AF262:AF263" si="290">S262/AC262</f>
        <v>9.1642808200000005E-3</v>
      </c>
      <c r="AG262" s="6" t="b">
        <f>+Tabla9[[#This Row],[CUMPLIMIENTO]]&lt;100%</f>
        <v>1</v>
      </c>
      <c r="AH262" s="12">
        <f>((( (Tabla9[[#This Row],[FTP_CIERRE_MES]]/100)+1)^(30/360) -1)*(36000/30))/36000</f>
        <v>1.2239493171416853E-4</v>
      </c>
      <c r="AI262" s="3">
        <f>Tabla9[[#This Row],[FTP_DIARIO]]*Tabla9[[#This Row],[SALDO_PROM_CORREGIDO]]*Tabla9[[#This Row],[DIAS]]</f>
        <v>1682.4922877600466</v>
      </c>
      <c r="AJ262" s="3">
        <f>Tabla9[[#This Row],[REAL_FTP_MONTO]]-Tabla9[[#This Row],[INT_REAL]]</f>
        <v>1604.3223877600465</v>
      </c>
      <c r="AK262" s="3">
        <f>Tabla9[[#This Row],[FTP_DIARIO]]*Tabla9[[#This Row],[COMPROMISO]]*Tabla9[[#This Row],[DIAS]]</f>
        <v>183592.39757125278</v>
      </c>
      <c r="AL262" s="13">
        <f>((( (Tabla9[[#This Row],[TASA_INT]])+1)^(30/360) -1)*(36000/30))/36000</f>
        <v>5.5504694606911545E-6</v>
      </c>
      <c r="AM262" s="3">
        <f>Tabla9[[#This Row],[TEA DIARIA]]*Tabla9[[#This Row],[SALDO_PROM_CORREGIDO]]*Tabla9[[#This Row],[DIAS]]</f>
        <v>76.299091230911543</v>
      </c>
      <c r="AN262" s="3">
        <f>Tabla9[[#This Row],[TEA DIARIA]]*Tabla9[[#This Row],[COMPROMISO]]*Tabla9[[#This Row],[DIAS]]</f>
        <v>8325.7041910367334</v>
      </c>
      <c r="AO262" s="14">
        <f>+Tabla9[[#This Row],[PROYECTADO_FTP_MONTO]]-Tabla9[[#This Row],[PROYECCION_INTERES]]</f>
        <v>175266.69338021605</v>
      </c>
      <c r="AP262" s="3">
        <f>Tabla9[[#This Row],[PROYECCION_MARGEN(FTP - Int compromiso)]]-Tabla9[[#This Row],[REAL_MARGEN(FTP - Int)]]</f>
        <v>173662.37099245601</v>
      </c>
    </row>
    <row r="263" spans="1:42" x14ac:dyDescent="0.35">
      <c r="A263">
        <v>202604</v>
      </c>
      <c r="B263" s="7">
        <v>46142</v>
      </c>
      <c r="C263">
        <v>18357651</v>
      </c>
      <c r="D263" t="s">
        <v>36</v>
      </c>
      <c r="E263" t="s">
        <v>37</v>
      </c>
      <c r="F263" t="s">
        <v>221</v>
      </c>
      <c r="G263" t="s">
        <v>37</v>
      </c>
      <c r="H263" t="s">
        <v>498</v>
      </c>
      <c r="I263" t="s">
        <v>243</v>
      </c>
      <c r="J263" t="str">
        <f t="shared" si="289"/>
        <v>4.4963</v>
      </c>
      <c r="K263" t="s">
        <v>32</v>
      </c>
      <c r="L263" t="s">
        <v>33</v>
      </c>
      <c r="M263" t="s">
        <v>31</v>
      </c>
      <c r="N263" t="s">
        <v>264</v>
      </c>
      <c r="O263" t="s">
        <v>44</v>
      </c>
      <c r="P263" s="3">
        <v>3129746.9391999999</v>
      </c>
      <c r="Q263" s="3">
        <v>3130202.38</v>
      </c>
      <c r="R263" s="4">
        <v>4.4999999999999998E-2</v>
      </c>
      <c r="S263" s="3">
        <f>+Tabla9[[#This Row],[SAL_PROM_SOL]]</f>
        <v>3129746.9391999999</v>
      </c>
      <c r="T263" s="4">
        <v>2E-3</v>
      </c>
      <c r="U263" s="4">
        <v>4.2999999999999997E-2</v>
      </c>
      <c r="V263" s="3">
        <v>11491.949000000001</v>
      </c>
      <c r="W263" s="3">
        <v>521.13940000000002</v>
      </c>
      <c r="X263" s="3">
        <v>10970.809600000001</v>
      </c>
      <c r="Y263" s="3">
        <v>43.9499</v>
      </c>
      <c r="Z263" s="3">
        <v>10926.859700000001</v>
      </c>
      <c r="AA263">
        <v>30</v>
      </c>
      <c r="AB263" t="b">
        <f t="shared" si="279"/>
        <v>1</v>
      </c>
      <c r="AC263" s="3">
        <v>50000000</v>
      </c>
      <c r="AD263" t="s">
        <v>46</v>
      </c>
      <c r="AE263" s="8">
        <v>46155.560022106481</v>
      </c>
      <c r="AF263" s="6">
        <f t="shared" si="290"/>
        <v>6.2594938783999993E-2</v>
      </c>
      <c r="AG263" s="6" t="b">
        <f>+Tabla9[[#This Row],[CUMPLIMIENTO]]&lt;100%</f>
        <v>1</v>
      </c>
      <c r="AH263" s="12">
        <f>((( (Tabla9[[#This Row],[FTP_CIERRE_MES]]/100)+1)^(30/360) -1)*(36000/30))/36000</f>
        <v>1.2239493171416853E-4</v>
      </c>
      <c r="AI263" s="3">
        <f>Tabla9[[#This Row],[FTP_DIARIO]]*Tabla9[[#This Row],[SALDO_PROM_CORREGIDO]]*Tabla9[[#This Row],[DIAS]]</f>
        <v>11491.954887180358</v>
      </c>
      <c r="AJ263" s="3">
        <f>Tabla9[[#This Row],[REAL_FTP_MONTO]]-Tabla9[[#This Row],[INT_REAL]]</f>
        <v>10970.815487180358</v>
      </c>
      <c r="AK263" s="3">
        <f>Tabla9[[#This Row],[FTP_DIARIO]]*Tabla9[[#This Row],[COMPROMISO]]*Tabla9[[#This Row],[DIAS]]</f>
        <v>183592.39757125278</v>
      </c>
      <c r="AL263" s="13">
        <f>((( (Tabla9[[#This Row],[TASA_INT]])+1)^(30/360) -1)*(36000/30))/36000</f>
        <v>5.5504694606911545E-6</v>
      </c>
      <c r="AM263" s="3">
        <f>Tabla9[[#This Row],[TEA DIARIA]]*Tabla9[[#This Row],[SALDO_PROM_CORREGIDO]]*Tabla9[[#This Row],[DIAS]]</f>
        <v>521.14694417163639</v>
      </c>
      <c r="AN263" s="3">
        <f>Tabla9[[#This Row],[TEA DIARIA]]*Tabla9[[#This Row],[COMPROMISO]]*Tabla9[[#This Row],[DIAS]]</f>
        <v>8325.7041910367334</v>
      </c>
      <c r="AO263" s="14">
        <f>+Tabla9[[#This Row],[PROYECTADO_FTP_MONTO]]-Tabla9[[#This Row],[PROYECCION_INTERES]]</f>
        <v>175266.69338021605</v>
      </c>
      <c r="AP263" s="3">
        <f>Tabla9[[#This Row],[PROYECCION_MARGEN(FTP - Int compromiso)]]-Tabla9[[#This Row],[REAL_MARGEN(FTP - Int)]]</f>
        <v>164295.87789303568</v>
      </c>
    </row>
    <row r="264" spans="1:42" x14ac:dyDescent="0.35">
      <c r="A264">
        <v>202604</v>
      </c>
      <c r="B264" s="7">
        <v>46142</v>
      </c>
      <c r="C264">
        <v>18434680</v>
      </c>
      <c r="D264" t="s">
        <v>36</v>
      </c>
      <c r="E264" t="s">
        <v>37</v>
      </c>
      <c r="F264" t="s">
        <v>222</v>
      </c>
      <c r="G264" t="s">
        <v>37</v>
      </c>
      <c r="H264" t="s">
        <v>498</v>
      </c>
      <c r="I264" t="s">
        <v>243</v>
      </c>
      <c r="J264" t="str">
        <f t="shared" ref="J264:J265" si="291">IF(I264="SOLES","4.4963","3.388")</f>
        <v>4.4963</v>
      </c>
      <c r="K264" t="s">
        <v>32</v>
      </c>
      <c r="L264" t="s">
        <v>33</v>
      </c>
      <c r="M264" t="s">
        <v>31</v>
      </c>
      <c r="N264" t="s">
        <v>465</v>
      </c>
      <c r="O264" t="s">
        <v>44</v>
      </c>
      <c r="P264" s="3">
        <v>233558.2807</v>
      </c>
      <c r="Q264" s="3">
        <v>293582.58</v>
      </c>
      <c r="R264" s="4">
        <v>4.4999999999999998E-2</v>
      </c>
      <c r="S264" s="3">
        <f>+Tabla9[[#This Row],[SAL_PROM_SOL]]</f>
        <v>233558.2807</v>
      </c>
      <c r="T264" s="4">
        <v>1.0800000000000001E-2</v>
      </c>
      <c r="U264" s="4">
        <v>3.4200000000000001E-2</v>
      </c>
      <c r="V264" s="3">
        <v>857.58929999999998</v>
      </c>
      <c r="W264" s="3">
        <v>208.30840000000001</v>
      </c>
      <c r="X264" s="3">
        <v>649.28089999999997</v>
      </c>
      <c r="Y264" s="3">
        <v>43.9499</v>
      </c>
      <c r="Z264" s="3">
        <v>605.33100000000002</v>
      </c>
      <c r="AA264">
        <v>30</v>
      </c>
      <c r="AB264" t="b">
        <f t="shared" si="279"/>
        <v>1</v>
      </c>
      <c r="AC264" s="3">
        <v>15000000</v>
      </c>
      <c r="AD264" t="s">
        <v>46</v>
      </c>
      <c r="AE264" s="8">
        <v>46155.560022106481</v>
      </c>
      <c r="AF264" s="6">
        <f t="shared" ref="AF264" si="292">S264/AC264</f>
        <v>1.5570552046666667E-2</v>
      </c>
      <c r="AG264" s="6" t="b">
        <f>+Tabla9[[#This Row],[CUMPLIMIENTO]]&lt;100%</f>
        <v>1</v>
      </c>
      <c r="AH264" s="12">
        <f>((( (Tabla9[[#This Row],[FTP_CIERRE_MES]]/100)+1)^(30/360) -1)*(36000/30))/36000</f>
        <v>1.2239493171416853E-4</v>
      </c>
      <c r="AI264" s="3">
        <f>Tabla9[[#This Row],[FTP_DIARIO]]*Tabla9[[#This Row],[SALDO_PROM_CORREGIDO]]*Tabla9[[#This Row],[DIAS]]</f>
        <v>857.59049452665317</v>
      </c>
      <c r="AJ264" s="3">
        <f>Tabla9[[#This Row],[REAL_FTP_MONTO]]-Tabla9[[#This Row],[INT_REAL]]</f>
        <v>649.28209452665317</v>
      </c>
      <c r="AK264" s="3">
        <f>Tabla9[[#This Row],[FTP_DIARIO]]*Tabla9[[#This Row],[COMPROMISO]]*Tabla9[[#This Row],[DIAS]]</f>
        <v>55077.719271375834</v>
      </c>
      <c r="AL264" s="13">
        <f>((( (Tabla9[[#This Row],[TASA_INT]])+1)^(30/360) -1)*(36000/30))/36000</f>
        <v>2.9852516648546747E-5</v>
      </c>
      <c r="AM264" s="3">
        <f>Tabla9[[#This Row],[TEA DIARIA]]*Tabla9[[#This Row],[SALDO_PROM_CORREGIDO]]*Tabla9[[#This Row],[DIAS]]</f>
        <v>209.16907389008114</v>
      </c>
      <c r="AN264" s="3">
        <f>Tabla9[[#This Row],[TEA DIARIA]]*Tabla9[[#This Row],[COMPROMISO]]*Tabla9[[#This Row],[DIAS]]</f>
        <v>13433.632491846036</v>
      </c>
      <c r="AO264" s="14">
        <f>+Tabla9[[#This Row],[PROYECTADO_FTP_MONTO]]-Tabla9[[#This Row],[PROYECCION_INTERES]]</f>
        <v>41644.086779529796</v>
      </c>
      <c r="AP264" s="3">
        <f>Tabla9[[#This Row],[PROYECCION_MARGEN(FTP - Int compromiso)]]-Tabla9[[#This Row],[REAL_MARGEN(FTP - Int)]]</f>
        <v>40994.804685003146</v>
      </c>
    </row>
    <row r="265" spans="1:42" x14ac:dyDescent="0.35">
      <c r="A265">
        <v>202604</v>
      </c>
      <c r="B265" s="7">
        <v>46142</v>
      </c>
      <c r="C265">
        <v>18434736</v>
      </c>
      <c r="D265" t="s">
        <v>36</v>
      </c>
      <c r="E265" t="s">
        <v>37</v>
      </c>
      <c r="F265" t="s">
        <v>223</v>
      </c>
      <c r="G265" t="s">
        <v>37</v>
      </c>
      <c r="H265" t="s">
        <v>498</v>
      </c>
      <c r="I265" t="s">
        <v>244</v>
      </c>
      <c r="J265" t="str">
        <f t="shared" si="291"/>
        <v>3.388</v>
      </c>
      <c r="K265" t="s">
        <v>32</v>
      </c>
      <c r="L265" t="s">
        <v>33</v>
      </c>
      <c r="M265" t="s">
        <v>34</v>
      </c>
      <c r="N265" t="s">
        <v>466</v>
      </c>
      <c r="O265" t="s">
        <v>44</v>
      </c>
      <c r="P265" s="3">
        <v>660115.30350000004</v>
      </c>
      <c r="Q265" s="3">
        <v>556223.43279999995</v>
      </c>
      <c r="R265" s="4">
        <v>3.39E-2</v>
      </c>
      <c r="S265" s="3">
        <f>+Tabla9[[#This Row],[SAL_PROM_SOL]]</f>
        <v>660115.30350000004</v>
      </c>
      <c r="T265" s="4">
        <v>3.5000000000000001E-3</v>
      </c>
      <c r="U265" s="4">
        <v>3.04E-2</v>
      </c>
      <c r="V265" s="3">
        <v>1835.3943999999999</v>
      </c>
      <c r="W265" s="3">
        <v>191.15539999999999</v>
      </c>
      <c r="X265" s="3">
        <v>1644.239</v>
      </c>
      <c r="Y265" s="3">
        <v>42.865400000000001</v>
      </c>
      <c r="Z265" s="3">
        <v>1601.3735999999999</v>
      </c>
      <c r="AA265">
        <v>30</v>
      </c>
      <c r="AB265" t="b">
        <f t="shared" si="279"/>
        <v>1</v>
      </c>
      <c r="AC265" s="3">
        <v>15000000</v>
      </c>
      <c r="AD265" t="s">
        <v>46</v>
      </c>
      <c r="AE265" s="8">
        <v>46155.560022106481</v>
      </c>
      <c r="AF265" s="6">
        <f t="shared" ref="AF265" si="293">S265/AC265</f>
        <v>4.4007686900000002E-2</v>
      </c>
      <c r="AG265" s="6" t="b">
        <f>+Tabla9[[#This Row],[CUMPLIMIENTO]]&lt;100%</f>
        <v>1</v>
      </c>
      <c r="AH265" s="12">
        <f>((( (Tabla9[[#This Row],[FTP_CIERRE_MES]]/100)+1)^(30/360) -1)*(36000/30))/36000</f>
        <v>9.2680593701059222E-5</v>
      </c>
      <c r="AI265" s="3">
        <f>Tabla9[[#This Row],[FTP_DIARIO]]*Tabla9[[#This Row],[SALDO_PROM_CORREGIDO]]*Tabla9[[#This Row],[DIAS]]</f>
        <v>1835.396347186047</v>
      </c>
      <c r="AJ265" s="3">
        <f>Tabla9[[#This Row],[REAL_FTP_MONTO]]-Tabla9[[#This Row],[INT_REAL]]</f>
        <v>1644.2409471860469</v>
      </c>
      <c r="AK265" s="3">
        <f>Tabla9[[#This Row],[FTP_DIARIO]]*Tabla9[[#This Row],[COMPROMISO]]*Tabla9[[#This Row],[DIAS]]</f>
        <v>41706.267165476653</v>
      </c>
      <c r="AL265" s="13">
        <f>((( (Tabla9[[#This Row],[TASA_INT]])+1)^(30/360) -1)*(36000/30))/36000</f>
        <v>9.7066609431835826E-6</v>
      </c>
      <c r="AM265" s="3">
        <f>Tabla9[[#This Row],[TEA DIARIA]]*Tabla9[[#This Row],[SALDO_PROM_CORREGIDO]]*Tabla9[[#This Row],[DIAS]]</f>
        <v>192.22546303443681</v>
      </c>
      <c r="AN265" s="3">
        <f>Tabla9[[#This Row],[TEA DIARIA]]*Tabla9[[#This Row],[COMPROMISO]]*Tabla9[[#This Row],[DIAS]]</f>
        <v>4367.9974244326122</v>
      </c>
      <c r="AO265" s="14">
        <f>+Tabla9[[#This Row],[PROYECTADO_FTP_MONTO]]-Tabla9[[#This Row],[PROYECCION_INTERES]]</f>
        <v>37338.269741044038</v>
      </c>
      <c r="AP265" s="3">
        <f>Tabla9[[#This Row],[PROYECCION_MARGEN(FTP - Int compromiso)]]-Tabla9[[#This Row],[REAL_MARGEN(FTP - Int)]]</f>
        <v>35694.028793857993</v>
      </c>
    </row>
    <row r="266" spans="1:42" x14ac:dyDescent="0.35">
      <c r="A266">
        <v>202604</v>
      </c>
      <c r="B266" s="7">
        <v>46142</v>
      </c>
      <c r="C266">
        <v>18612477</v>
      </c>
      <c r="D266" t="s">
        <v>36</v>
      </c>
      <c r="E266" t="s">
        <v>37</v>
      </c>
      <c r="F266" t="s">
        <v>224</v>
      </c>
      <c r="G266" t="s">
        <v>37</v>
      </c>
      <c r="H266" t="s">
        <v>491</v>
      </c>
      <c r="I266" t="s">
        <v>244</v>
      </c>
      <c r="J266" t="str">
        <f t="shared" ref="J266:J267" si="294">IF(I266="SOLES","4.4963","3.388")</f>
        <v>3.388</v>
      </c>
      <c r="K266" t="s">
        <v>32</v>
      </c>
      <c r="L266" t="s">
        <v>33</v>
      </c>
      <c r="M266" t="s">
        <v>34</v>
      </c>
      <c r="N266" t="s">
        <v>467</v>
      </c>
      <c r="O266" t="s">
        <v>44</v>
      </c>
      <c r="P266" s="3">
        <v>10733.7246</v>
      </c>
      <c r="Q266" s="3">
        <v>10763.1806</v>
      </c>
      <c r="R266" s="4">
        <v>3.39E-2</v>
      </c>
      <c r="S266" s="3">
        <f>+Tabla9[[#This Row],[SAL_PROM_SOL]]</f>
        <v>10733.7246</v>
      </c>
      <c r="T266" s="4">
        <v>1.7999999999999999E-2</v>
      </c>
      <c r="U266" s="4">
        <v>1.5900000000000001E-2</v>
      </c>
      <c r="V266" s="3">
        <v>29.8508</v>
      </c>
      <c r="W266" s="3">
        <v>15.9755</v>
      </c>
      <c r="X266" s="3">
        <v>13.875299999999999</v>
      </c>
      <c r="Y266" s="3">
        <v>3.9594</v>
      </c>
      <c r="Z266" s="3">
        <v>9.9159000000000006</v>
      </c>
      <c r="AA266">
        <v>30</v>
      </c>
      <c r="AB266" t="b">
        <f t="shared" si="279"/>
        <v>1</v>
      </c>
      <c r="AC266" s="3">
        <v>300000</v>
      </c>
      <c r="AD266" t="s">
        <v>46</v>
      </c>
      <c r="AE266" s="8">
        <v>46155.560022106481</v>
      </c>
      <c r="AF266" s="6">
        <f t="shared" ref="AF266:AF267" si="295">S266/AC266</f>
        <v>3.5779081999999997E-2</v>
      </c>
      <c r="AG266" s="6" t="b">
        <f>+Tabla9[[#This Row],[CUMPLIMIENTO]]&lt;100%</f>
        <v>1</v>
      </c>
      <c r="AH266" s="12">
        <f>((( (Tabla9[[#This Row],[FTP_CIERRE_MES]]/100)+1)^(30/360) -1)*(36000/30))/36000</f>
        <v>9.2680593701059222E-5</v>
      </c>
      <c r="AI266" s="3">
        <f>Tabla9[[#This Row],[FTP_DIARIO]]*Tabla9[[#This Row],[SALDO_PROM_CORREGIDO]]*Tabla9[[#This Row],[DIAS]]</f>
        <v>29.844239056549931</v>
      </c>
      <c r="AJ266" s="3">
        <f>Tabla9[[#This Row],[REAL_FTP_MONTO]]-Tabla9[[#This Row],[INT_REAL]]</f>
        <v>13.868739056549931</v>
      </c>
      <c r="AK266" s="3">
        <f>Tabla9[[#This Row],[FTP_DIARIO]]*Tabla9[[#This Row],[COMPROMISO]]*Tabla9[[#This Row],[DIAS]]</f>
        <v>834.12534330953304</v>
      </c>
      <c r="AL266" s="13">
        <f>((( (Tabla9[[#This Row],[TASA_INT]])+1)^(30/360) -1)*(36000/30))/36000</f>
        <v>4.9592182353415858E-5</v>
      </c>
      <c r="AM266" s="3">
        <f>Tabla9[[#This Row],[TEA DIARIA]]*Tabla9[[#This Row],[SALDO_PROM_CORREGIDO]]*Tabla9[[#This Row],[DIAS]]</f>
        <v>15.969264830836371</v>
      </c>
      <c r="AN266" s="3">
        <f>Tabla9[[#This Row],[TEA DIARIA]]*Tabla9[[#This Row],[COMPROMISO]]*Tabla9[[#This Row],[DIAS]]</f>
        <v>446.32964118074267</v>
      </c>
      <c r="AO266" s="14">
        <f>+Tabla9[[#This Row],[PROYECTADO_FTP_MONTO]]-Tabla9[[#This Row],[PROYECCION_INTERES]]</f>
        <v>387.79570212879037</v>
      </c>
      <c r="AP266" s="3">
        <f>Tabla9[[#This Row],[PROYECCION_MARGEN(FTP - Int compromiso)]]-Tabla9[[#This Row],[REAL_MARGEN(FTP - Int)]]</f>
        <v>373.92696307224043</v>
      </c>
    </row>
    <row r="267" spans="1:42" x14ac:dyDescent="0.35">
      <c r="A267">
        <v>202604</v>
      </c>
      <c r="B267" s="7">
        <v>46142</v>
      </c>
      <c r="C267">
        <v>18612477</v>
      </c>
      <c r="D267" t="s">
        <v>36</v>
      </c>
      <c r="E267" t="s">
        <v>37</v>
      </c>
      <c r="F267" t="s">
        <v>224</v>
      </c>
      <c r="G267" t="s">
        <v>37</v>
      </c>
      <c r="H267" t="s">
        <v>491</v>
      </c>
      <c r="I267" t="s">
        <v>243</v>
      </c>
      <c r="J267" t="str">
        <f t="shared" si="294"/>
        <v>4.4963</v>
      </c>
      <c r="K267" t="s">
        <v>32</v>
      </c>
      <c r="L267" t="s">
        <v>33</v>
      </c>
      <c r="M267" t="s">
        <v>31</v>
      </c>
      <c r="N267" t="s">
        <v>468</v>
      </c>
      <c r="O267" t="s">
        <v>44</v>
      </c>
      <c r="P267" s="3">
        <v>4890.6507000000001</v>
      </c>
      <c r="Q267" s="3">
        <v>4851.67</v>
      </c>
      <c r="R267" s="4">
        <v>4.4999999999999998E-2</v>
      </c>
      <c r="S267" s="3">
        <f>+Tabla9[[#This Row],[SAL_PROM_SOL]]</f>
        <v>4890.6507000000001</v>
      </c>
      <c r="T267" s="4">
        <v>2.4E-2</v>
      </c>
      <c r="U267" s="4">
        <v>2.1000000000000001E-2</v>
      </c>
      <c r="V267" s="3">
        <v>17.9587</v>
      </c>
      <c r="W267" s="3">
        <v>9.6714000000000002</v>
      </c>
      <c r="X267" s="3">
        <v>8.2873000000000001</v>
      </c>
      <c r="Y267" s="3">
        <v>1.8212999999999999</v>
      </c>
      <c r="Z267" s="3">
        <v>6.4660000000000002</v>
      </c>
      <c r="AA267">
        <v>30</v>
      </c>
      <c r="AB267" t="b">
        <f t="shared" si="279"/>
        <v>1</v>
      </c>
      <c r="AC267" s="3">
        <v>1000000</v>
      </c>
      <c r="AD267" t="s">
        <v>46</v>
      </c>
      <c r="AE267" s="8">
        <v>46155.560022106481</v>
      </c>
      <c r="AF267" s="6">
        <f t="shared" si="295"/>
        <v>4.8906507000000005E-3</v>
      </c>
      <c r="AG267" s="6" t="b">
        <f>+Tabla9[[#This Row],[CUMPLIMIENTO]]&lt;100%</f>
        <v>1</v>
      </c>
      <c r="AH267" s="12">
        <f>((( (Tabla9[[#This Row],[FTP_CIERRE_MES]]/100)+1)^(30/360) -1)*(36000/30))/36000</f>
        <v>1.2239493171416853E-4</v>
      </c>
      <c r="AI267" s="3">
        <f>Tabla9[[#This Row],[FTP_DIARIO]]*Tabla9[[#This Row],[SALDO_PROM_CORREGIDO]]*Tabla9[[#This Row],[DIAS]]</f>
        <v>17.957725753930518</v>
      </c>
      <c r="AJ267" s="3">
        <f>Tabla9[[#This Row],[REAL_FTP_MONTO]]-Tabla9[[#This Row],[INT_REAL]]</f>
        <v>8.2863257539305177</v>
      </c>
      <c r="AK267" s="3">
        <f>Tabla9[[#This Row],[FTP_DIARIO]]*Tabla9[[#This Row],[COMPROMISO]]*Tabla9[[#This Row],[DIAS]]</f>
        <v>3671.8479514250557</v>
      </c>
      <c r="AL267" s="13">
        <f>((( (Tabla9[[#This Row],[TASA_INT]])+1)^(30/360) -1)*(36000/30))/36000</f>
        <v>6.59443846281101E-5</v>
      </c>
      <c r="AM267" s="3">
        <f>Tabla9[[#This Row],[TEA DIARIA]]*Tabla9[[#This Row],[SALDO_PROM_CORREGIDO]]*Tabla9[[#This Row],[DIAS]]</f>
        <v>9.6753285252760772</v>
      </c>
      <c r="AN267" s="3">
        <f>Tabla9[[#This Row],[TEA DIARIA]]*Tabla9[[#This Row],[COMPROMISO]]*Tabla9[[#This Row],[DIAS]]</f>
        <v>1978.331538843303</v>
      </c>
      <c r="AO267" s="14">
        <f>+Tabla9[[#This Row],[PROYECTADO_FTP_MONTO]]-Tabla9[[#This Row],[PROYECCION_INTERES]]</f>
        <v>1693.5164125817528</v>
      </c>
      <c r="AP267" s="3">
        <f>Tabla9[[#This Row],[PROYECCION_MARGEN(FTP - Int compromiso)]]-Tabla9[[#This Row],[REAL_MARGEN(FTP - Int)]]</f>
        <v>1685.2300868278223</v>
      </c>
    </row>
    <row r="268" spans="1:42" x14ac:dyDescent="0.35">
      <c r="A268">
        <v>202604</v>
      </c>
      <c r="B268" s="7">
        <v>46142</v>
      </c>
      <c r="C268">
        <v>19072551</v>
      </c>
      <c r="D268" t="s">
        <v>29</v>
      </c>
      <c r="E268" t="s">
        <v>30</v>
      </c>
      <c r="F268" t="s">
        <v>225</v>
      </c>
      <c r="G268" t="s">
        <v>30</v>
      </c>
      <c r="H268" t="s">
        <v>516</v>
      </c>
      <c r="I268" t="s">
        <v>244</v>
      </c>
      <c r="J268" t="str">
        <f t="shared" ref="J268:J269" si="296">IF(I268="SOLES","4.4963","3.388")</f>
        <v>3.388</v>
      </c>
      <c r="K268" t="s">
        <v>32</v>
      </c>
      <c r="L268" t="s">
        <v>33</v>
      </c>
      <c r="M268" t="s">
        <v>34</v>
      </c>
      <c r="N268" t="s">
        <v>469</v>
      </c>
      <c r="O268" t="s">
        <v>44</v>
      </c>
      <c r="P268" s="3">
        <v>2302202.784</v>
      </c>
      <c r="Q268" s="3">
        <v>29024.8514</v>
      </c>
      <c r="R268" s="4">
        <v>3.39E-2</v>
      </c>
      <c r="S268" s="3">
        <f>+Tabla9[[#This Row],[SAL_PROM_SOL]]</f>
        <v>2302202.784</v>
      </c>
      <c r="T268" s="4">
        <v>9.1000000000000004E-3</v>
      </c>
      <c r="U268" s="4">
        <v>2.4799999999999999E-2</v>
      </c>
      <c r="V268" s="3">
        <v>6401.0879000000004</v>
      </c>
      <c r="W268" s="3">
        <v>1745.6010000000001</v>
      </c>
      <c r="X268" s="3">
        <v>4655.4868999999999</v>
      </c>
      <c r="Y268" s="3">
        <v>0</v>
      </c>
      <c r="Z268" s="3">
        <v>4655.4868999999999</v>
      </c>
      <c r="AA268">
        <v>30</v>
      </c>
      <c r="AB268" t="b">
        <f t="shared" si="279"/>
        <v>1</v>
      </c>
      <c r="AC268" s="3">
        <v>610000</v>
      </c>
      <c r="AD268" t="s">
        <v>46</v>
      </c>
      <c r="AE268" s="8">
        <v>46155.560022106481</v>
      </c>
      <c r="AF268" s="6">
        <f t="shared" ref="AF268:AF269" si="297">S268/AC268</f>
        <v>3.7741029245901641</v>
      </c>
      <c r="AG268" s="6" t="b">
        <f>+Tabla9[[#This Row],[CUMPLIMIENTO]]&lt;100%</f>
        <v>0</v>
      </c>
      <c r="AH268" s="12">
        <f>((( (Tabla9[[#This Row],[FTP_CIERRE_MES]]/100)+1)^(30/360) -1)*(36000/30))/36000</f>
        <v>9.2680593701059222E-5</v>
      </c>
      <c r="AI268" s="3">
        <f>Tabla9[[#This Row],[FTP_DIARIO]]*Tabla9[[#This Row],[SALDO_PROM_CORREGIDO]]*Tabla9[[#This Row],[DIAS]]</f>
        <v>6401.085625240542</v>
      </c>
      <c r="AJ268" s="3">
        <f>Tabla9[[#This Row],[REAL_FTP_MONTO]]-Tabla9[[#This Row],[INT_REAL]]</f>
        <v>4655.4846252405423</v>
      </c>
      <c r="AK268" s="3">
        <f>Tabla9[[#This Row],[FTP_DIARIO]]*Tabla9[[#This Row],[COMPROMISO]]*Tabla9[[#This Row],[DIAS]]</f>
        <v>1696.0548647293838</v>
      </c>
      <c r="AL268" s="13">
        <f>((( (Tabla9[[#This Row],[TASA_INT]])+1)^(30/360) -1)*(36000/30))/36000</f>
        <v>2.5172957296004662E-5</v>
      </c>
      <c r="AM268" s="3">
        <f>Tabla9[[#This Row],[TEA DIARIA]]*Tabla9[[#This Row],[SALDO_PROM_CORREGIDO]]*Tabla9[[#This Row],[DIAS]]</f>
        <v>1738.5975710512514</v>
      </c>
      <c r="AN268" s="3">
        <f>Tabla9[[#This Row],[TEA DIARIA]]*Tabla9[[#This Row],[COMPROMISO]]*Tabla9[[#This Row],[DIAS]]</f>
        <v>460.66511851688529</v>
      </c>
      <c r="AO268" s="14">
        <f>+Tabla9[[#This Row],[PROYECTADO_FTP_MONTO]]-Tabla9[[#This Row],[PROYECCION_INTERES]]</f>
        <v>1235.3897462124985</v>
      </c>
      <c r="AP268" s="3">
        <f>Tabla9[[#This Row],[PROYECCION_MARGEN(FTP - Int compromiso)]]-Tabla9[[#This Row],[REAL_MARGEN(FTP - Int)]]</f>
        <v>-3420.0948790280436</v>
      </c>
    </row>
    <row r="269" spans="1:42" x14ac:dyDescent="0.35">
      <c r="A269">
        <v>202604</v>
      </c>
      <c r="B269" s="7">
        <v>46142</v>
      </c>
      <c r="C269">
        <v>19072551</v>
      </c>
      <c r="D269" t="s">
        <v>29</v>
      </c>
      <c r="E269" t="s">
        <v>30</v>
      </c>
      <c r="F269" t="s">
        <v>225</v>
      </c>
      <c r="G269" t="s">
        <v>30</v>
      </c>
      <c r="H269" t="s">
        <v>516</v>
      </c>
      <c r="I269" t="s">
        <v>243</v>
      </c>
      <c r="J269" t="str">
        <f t="shared" si="296"/>
        <v>4.4963</v>
      </c>
      <c r="K269" t="s">
        <v>32</v>
      </c>
      <c r="L269" t="s">
        <v>33</v>
      </c>
      <c r="M269" t="s">
        <v>31</v>
      </c>
      <c r="N269" t="s">
        <v>470</v>
      </c>
      <c r="O269" t="s">
        <v>44</v>
      </c>
      <c r="P269" s="3">
        <v>9596243.8795999996</v>
      </c>
      <c r="Q269" s="3">
        <v>10662747.439999999</v>
      </c>
      <c r="R269" s="4">
        <v>4.4999999999999998E-2</v>
      </c>
      <c r="S269" s="3">
        <f>+Tabla9[[#This Row],[SAL_PROM_SOL]]</f>
        <v>9596243.8795999996</v>
      </c>
      <c r="T269" s="4">
        <v>1.3299999999999999E-2</v>
      </c>
      <c r="U269" s="4">
        <v>3.1699999999999999E-2</v>
      </c>
      <c r="V269" s="3">
        <v>35235.951200000003</v>
      </c>
      <c r="W269" s="3">
        <v>10600.119000000001</v>
      </c>
      <c r="X269" s="3">
        <v>24635.832200000001</v>
      </c>
      <c r="Y269" s="3">
        <v>9.2995000000000001</v>
      </c>
      <c r="Z269" s="3">
        <v>24626.5327</v>
      </c>
      <c r="AA269">
        <v>30</v>
      </c>
      <c r="AB269" t="b">
        <f t="shared" si="279"/>
        <v>1</v>
      </c>
      <c r="AC269" s="3">
        <v>5100000</v>
      </c>
      <c r="AD269" t="s">
        <v>46</v>
      </c>
      <c r="AE269" s="8">
        <v>46155.560022106481</v>
      </c>
      <c r="AF269" s="6">
        <f t="shared" si="297"/>
        <v>1.881616446980392</v>
      </c>
      <c r="AG269" s="6" t="b">
        <f>+Tabla9[[#This Row],[CUMPLIMIENTO]]&lt;100%</f>
        <v>0</v>
      </c>
      <c r="AH269" s="12">
        <f>((( (Tabla9[[#This Row],[FTP_CIERRE_MES]]/100)+1)^(30/360) -1)*(36000/30))/36000</f>
        <v>1.2239493171416853E-4</v>
      </c>
      <c r="AI269" s="3">
        <f>Tabla9[[#This Row],[FTP_DIARIO]]*Tabla9[[#This Row],[SALDO_PROM_CORREGIDO]]*Tabla9[[#This Row],[DIAS]]</f>
        <v>35235.94843068449</v>
      </c>
      <c r="AJ269" s="3">
        <f>Tabla9[[#This Row],[REAL_FTP_MONTO]]-Tabla9[[#This Row],[INT_REAL]]</f>
        <v>24635.829430684491</v>
      </c>
      <c r="AK269" s="3">
        <f>Tabla9[[#This Row],[FTP_DIARIO]]*Tabla9[[#This Row],[COMPROMISO]]*Tabla9[[#This Row],[DIAS]]</f>
        <v>18726.424552267785</v>
      </c>
      <c r="AL269" s="13">
        <f>((( (Tabla9[[#This Row],[TASA_INT]])+1)^(30/360) -1)*(36000/30))/36000</f>
        <v>3.6721132536920996E-5</v>
      </c>
      <c r="AM269" s="3">
        <f>Tabla9[[#This Row],[TEA DIARIA]]*Tabla9[[#This Row],[SALDO_PROM_CORREGIDO]]*Tabla9[[#This Row],[DIAS]]</f>
        <v>10571.548300782255</v>
      </c>
      <c r="AN269" s="3">
        <f>Tabla9[[#This Row],[TEA DIARIA]]*Tabla9[[#This Row],[COMPROMISO]]*Tabla9[[#This Row],[DIAS]]</f>
        <v>5618.3332781489125</v>
      </c>
      <c r="AO269" s="14">
        <f>+Tabla9[[#This Row],[PROYECTADO_FTP_MONTO]]-Tabla9[[#This Row],[PROYECCION_INTERES]]</f>
        <v>13108.091274118873</v>
      </c>
      <c r="AP269" s="3">
        <f>Tabla9[[#This Row],[PROYECCION_MARGEN(FTP - Int compromiso)]]-Tabla9[[#This Row],[REAL_MARGEN(FTP - Int)]]</f>
        <v>-11527.738156565618</v>
      </c>
    </row>
    <row r="270" spans="1:42" x14ac:dyDescent="0.35">
      <c r="A270">
        <v>202604</v>
      </c>
      <c r="B270" s="7">
        <v>46142</v>
      </c>
      <c r="C270">
        <v>19169253</v>
      </c>
      <c r="D270" t="s">
        <v>36</v>
      </c>
      <c r="E270" t="s">
        <v>37</v>
      </c>
      <c r="F270" t="s">
        <v>226</v>
      </c>
      <c r="G270" t="s">
        <v>37</v>
      </c>
      <c r="H270" t="s">
        <v>498</v>
      </c>
      <c r="I270" t="s">
        <v>244</v>
      </c>
      <c r="J270" t="str">
        <f t="shared" ref="J270" si="298">IF(I270="SOLES","4.4963","3.388")</f>
        <v>3.388</v>
      </c>
      <c r="K270" t="s">
        <v>32</v>
      </c>
      <c r="L270" t="s">
        <v>33</v>
      </c>
      <c r="M270" t="s">
        <v>34</v>
      </c>
      <c r="N270" t="s">
        <v>471</v>
      </c>
      <c r="O270" t="s">
        <v>44</v>
      </c>
      <c r="P270" s="3">
        <v>484539.55300000001</v>
      </c>
      <c r="Q270" s="3">
        <v>428443.33159999998</v>
      </c>
      <c r="R270" s="4">
        <v>3.39E-2</v>
      </c>
      <c r="S270" s="3">
        <f>+Tabla9[[#This Row],[SAL_PROM_SOL]]</f>
        <v>484539.55300000001</v>
      </c>
      <c r="T270" s="4">
        <v>3.5000000000000001E-3</v>
      </c>
      <c r="U270" s="4">
        <v>3.04E-2</v>
      </c>
      <c r="V270" s="3">
        <v>1347.2114999999999</v>
      </c>
      <c r="W270" s="3">
        <v>143.09110000000001</v>
      </c>
      <c r="X270" s="3">
        <v>1204.1204</v>
      </c>
      <c r="Y270" s="3">
        <v>42.073500000000003</v>
      </c>
      <c r="Z270" s="3">
        <v>1162.0469000000001</v>
      </c>
      <c r="AA270">
        <v>30</v>
      </c>
      <c r="AB270" t="b">
        <f t="shared" si="279"/>
        <v>1</v>
      </c>
      <c r="AC270" s="3">
        <v>15000000</v>
      </c>
      <c r="AD270" t="s">
        <v>46</v>
      </c>
      <c r="AE270" s="8">
        <v>46155.560022106481</v>
      </c>
      <c r="AF270" s="6">
        <f t="shared" ref="AF270" si="299">S270/AC270</f>
        <v>3.2302636866666665E-2</v>
      </c>
      <c r="AG270" s="6" t="b">
        <f>+Tabla9[[#This Row],[CUMPLIMIENTO]]&lt;100%</f>
        <v>1</v>
      </c>
      <c r="AH270" s="12">
        <f>((( (Tabla9[[#This Row],[FTP_CIERRE_MES]]/100)+1)^(30/360) -1)*(36000/30))/36000</f>
        <v>9.2680593701059222E-5</v>
      </c>
      <c r="AI270" s="3">
        <f>Tabla9[[#This Row],[FTP_DIARIO]]*Tabla9[[#This Row],[SALDO_PROM_CORREGIDO]]*Tabla9[[#This Row],[DIAS]]</f>
        <v>1347.2224033105756</v>
      </c>
      <c r="AJ270" s="3">
        <f>Tabla9[[#This Row],[REAL_FTP_MONTO]]-Tabla9[[#This Row],[INT_REAL]]</f>
        <v>1204.1313033105755</v>
      </c>
      <c r="AK270" s="3">
        <f>Tabla9[[#This Row],[FTP_DIARIO]]*Tabla9[[#This Row],[COMPROMISO]]*Tabla9[[#This Row],[DIAS]]</f>
        <v>41706.267165476653</v>
      </c>
      <c r="AL270" s="13">
        <f>((( (Tabla9[[#This Row],[TASA_INT]])+1)^(30/360) -1)*(36000/30))/36000</f>
        <v>9.7066609431835826E-6</v>
      </c>
      <c r="AM270" s="3">
        <f>Tabla9[[#This Row],[TEA DIARIA]]*Tabla9[[#This Row],[SALDO_PROM_CORREGIDO]]*Tabla9[[#This Row],[DIAS]]</f>
        <v>141.09783463598197</v>
      </c>
      <c r="AN270" s="3">
        <f>Tabla9[[#This Row],[TEA DIARIA]]*Tabla9[[#This Row],[COMPROMISO]]*Tabla9[[#This Row],[DIAS]]</f>
        <v>4367.9974244326122</v>
      </c>
      <c r="AO270" s="14">
        <f>+Tabla9[[#This Row],[PROYECTADO_FTP_MONTO]]-Tabla9[[#This Row],[PROYECCION_INTERES]]</f>
        <v>37338.269741044038</v>
      </c>
      <c r="AP270" s="3">
        <f>Tabla9[[#This Row],[PROYECCION_MARGEN(FTP - Int compromiso)]]-Tabla9[[#This Row],[REAL_MARGEN(FTP - Int)]]</f>
        <v>36134.138437733462</v>
      </c>
    </row>
    <row r="271" spans="1:42" x14ac:dyDescent="0.35">
      <c r="A271">
        <v>202604</v>
      </c>
      <c r="B271" s="7">
        <v>46142</v>
      </c>
      <c r="C271">
        <v>19474247</v>
      </c>
      <c r="D271" t="s">
        <v>36</v>
      </c>
      <c r="E271" t="s">
        <v>38</v>
      </c>
      <c r="F271" t="s">
        <v>227</v>
      </c>
      <c r="G271" t="s">
        <v>38</v>
      </c>
      <c r="H271" t="s">
        <v>528</v>
      </c>
      <c r="I271" t="s">
        <v>244</v>
      </c>
      <c r="J271" t="str">
        <f t="shared" ref="J271" si="300">IF(I271="SOLES","4.4963","3.388")</f>
        <v>3.388</v>
      </c>
      <c r="K271" t="s">
        <v>32</v>
      </c>
      <c r="L271" t="s">
        <v>33</v>
      </c>
      <c r="M271" t="s">
        <v>34</v>
      </c>
      <c r="N271" t="s">
        <v>472</v>
      </c>
      <c r="O271" t="s">
        <v>44</v>
      </c>
      <c r="P271" s="3">
        <v>173393718.84940001</v>
      </c>
      <c r="Q271" s="3">
        <v>177473050.90439999</v>
      </c>
      <c r="R271" s="4">
        <v>3.39E-2</v>
      </c>
      <c r="S271" s="3">
        <f>+Tabla9[[#This Row],[SAL_PROM_SOL]]</f>
        <v>173393718.84940001</v>
      </c>
      <c r="T271" s="4">
        <v>2.5000000000000001E-2</v>
      </c>
      <c r="U271" s="4">
        <v>8.8999999999999999E-3</v>
      </c>
      <c r="V271" s="3">
        <v>482106.97019999998</v>
      </c>
      <c r="W271" s="3">
        <v>357138.15509999997</v>
      </c>
      <c r="X271" s="3">
        <v>124968.81510000001</v>
      </c>
      <c r="Y271" s="3">
        <v>0</v>
      </c>
      <c r="Z271" s="3">
        <v>124968.81510000001</v>
      </c>
      <c r="AA271">
        <v>30</v>
      </c>
      <c r="AB271" t="b">
        <f t="shared" si="279"/>
        <v>1</v>
      </c>
      <c r="AC271" s="3">
        <v>45000000</v>
      </c>
      <c r="AD271" t="s">
        <v>46</v>
      </c>
      <c r="AE271" s="8">
        <v>46155.560022106481</v>
      </c>
      <c r="AF271" s="6">
        <f t="shared" ref="AF271" si="301">S271/AC271</f>
        <v>3.853193752208889</v>
      </c>
      <c r="AG271" s="6" t="b">
        <f>+Tabla9[[#This Row],[CUMPLIMIENTO]]&lt;100%</f>
        <v>0</v>
      </c>
      <c r="AH271" s="12">
        <f>((( (Tabla9[[#This Row],[FTP_CIERRE_MES]]/100)+1)^(30/360) -1)*(36000/30))/36000</f>
        <v>9.2680593701059222E-5</v>
      </c>
      <c r="AI271" s="3">
        <f>Tabla9[[#This Row],[FTP_DIARIO]]*Tabla9[[#This Row],[SALDO_PROM_CORREGIDO]]*Tabla9[[#This Row],[DIAS]]</f>
        <v>482106.98420990811</v>
      </c>
      <c r="AJ271" s="3">
        <f>Tabla9[[#This Row],[REAL_FTP_MONTO]]-Tabla9[[#This Row],[INT_REAL]]</f>
        <v>124968.82910990814</v>
      </c>
      <c r="AK271" s="3">
        <f>Tabla9[[#This Row],[FTP_DIARIO]]*Tabla9[[#This Row],[COMPROMISO]]*Tabla9[[#This Row],[DIAS]]</f>
        <v>125118.80149642994</v>
      </c>
      <c r="AL271" s="13">
        <f>((( (Tabla9[[#This Row],[TASA_INT]])+1)^(30/360) -1)*(36000/30))/36000</f>
        <v>6.8661208994758022E-5</v>
      </c>
      <c r="AM271" s="3">
        <f>Tabla9[[#This Row],[TEA DIARIA]]*Tabla9[[#This Row],[SALDO_PROM_CORREGIDO]]*Tabla9[[#This Row],[DIAS]]</f>
        <v>357162.67104890902</v>
      </c>
      <c r="AN271" s="3">
        <f>Tabla9[[#This Row],[TEA DIARIA]]*Tabla9[[#This Row],[COMPROMISO]]*Tabla9[[#This Row],[DIAS]]</f>
        <v>92692.632142923321</v>
      </c>
      <c r="AO271" s="14">
        <f>+Tabla9[[#This Row],[PROYECTADO_FTP_MONTO]]-Tabla9[[#This Row],[PROYECCION_INTERES]]</f>
        <v>32426.169353506615</v>
      </c>
      <c r="AP271" s="3">
        <f>Tabla9[[#This Row],[PROYECCION_MARGEN(FTP - Int compromiso)]]-Tabla9[[#This Row],[REAL_MARGEN(FTP - Int)]]</f>
        <v>-92542.659756401525</v>
      </c>
    </row>
    <row r="272" spans="1:42" x14ac:dyDescent="0.35">
      <c r="A272">
        <v>202604</v>
      </c>
      <c r="B272" s="7">
        <v>46142</v>
      </c>
      <c r="C272">
        <v>19824708</v>
      </c>
      <c r="D272" t="s">
        <v>36</v>
      </c>
      <c r="E272" t="s">
        <v>37</v>
      </c>
      <c r="F272" t="s">
        <v>228</v>
      </c>
      <c r="G272" t="s">
        <v>37</v>
      </c>
      <c r="H272" t="s">
        <v>511</v>
      </c>
      <c r="I272" t="s">
        <v>243</v>
      </c>
      <c r="J272" t="str">
        <f t="shared" ref="J272" si="302">IF(I272="SOLES","4.4963","3.388")</f>
        <v>4.4963</v>
      </c>
      <c r="K272" t="s">
        <v>32</v>
      </c>
      <c r="L272" t="s">
        <v>33</v>
      </c>
      <c r="M272" t="s">
        <v>31</v>
      </c>
      <c r="N272" t="s">
        <v>473</v>
      </c>
      <c r="O272" t="s">
        <v>44</v>
      </c>
      <c r="P272" s="3">
        <v>3444958.5506000002</v>
      </c>
      <c r="Q272" s="3">
        <v>5756805.75</v>
      </c>
      <c r="R272" s="4">
        <v>4.4999999999999998E-2</v>
      </c>
      <c r="S272" s="3">
        <f>+Tabla9[[#This Row],[SAL_PROM_SOL]]</f>
        <v>3444958.5506000002</v>
      </c>
      <c r="T272" s="4">
        <v>3.8600000000000002E-2</v>
      </c>
      <c r="U272" s="4">
        <v>6.4000000000000003E-3</v>
      </c>
      <c r="V272" s="3">
        <v>12649.3616</v>
      </c>
      <c r="W272" s="3">
        <v>10901.891100000001</v>
      </c>
      <c r="X272" s="3">
        <v>1747.4704999999999</v>
      </c>
      <c r="Y272" s="3">
        <v>43.9499</v>
      </c>
      <c r="Z272" s="3">
        <v>1703.5206000000001</v>
      </c>
      <c r="AA272">
        <v>30</v>
      </c>
      <c r="AB272" t="b">
        <f t="shared" si="279"/>
        <v>1</v>
      </c>
      <c r="AC272" s="3">
        <v>5000000</v>
      </c>
      <c r="AD272" t="s">
        <v>46</v>
      </c>
      <c r="AE272" s="8">
        <v>46155.560022106481</v>
      </c>
      <c r="AF272" s="6">
        <f t="shared" ref="AF272" si="303">S272/AC272</f>
        <v>0.68899171012000004</v>
      </c>
      <c r="AG272" s="6" t="b">
        <f>+Tabla9[[#This Row],[CUMPLIMIENTO]]&lt;100%</f>
        <v>1</v>
      </c>
      <c r="AH272" s="12">
        <f>((( (Tabla9[[#This Row],[FTP_CIERRE_MES]]/100)+1)^(30/360) -1)*(36000/30))/36000</f>
        <v>1.2239493171416853E-4</v>
      </c>
      <c r="AI272" s="3">
        <f>Tabla9[[#This Row],[FTP_DIARIO]]*Tabla9[[#This Row],[SALDO_PROM_CORREGIDO]]*Tabla9[[#This Row],[DIAS]]</f>
        <v>12649.36399676484</v>
      </c>
      <c r="AJ272" s="3">
        <f>Tabla9[[#This Row],[REAL_FTP_MONTO]]-Tabla9[[#This Row],[INT_REAL]]</f>
        <v>1747.4728967648389</v>
      </c>
      <c r="AK272" s="3">
        <f>Tabla9[[#This Row],[FTP_DIARIO]]*Tabla9[[#This Row],[COMPROMISO]]*Tabla9[[#This Row],[DIAS]]</f>
        <v>18359.23975712528</v>
      </c>
      <c r="AL272" s="13">
        <f>((( (Tabla9[[#This Row],[TASA_INT]])+1)^(30/360) -1)*(36000/30))/36000</f>
        <v>1.0537078496325828E-4</v>
      </c>
      <c r="AM272" s="3">
        <f>Tabla9[[#This Row],[TEA DIARIA]]*Tabla9[[#This Row],[SALDO_PROM_CORREGIDO]]*Tabla9[[#This Row],[DIAS]]</f>
        <v>10889.939599278317</v>
      </c>
      <c r="AN272" s="3">
        <f>Tabla9[[#This Row],[TEA DIARIA]]*Tabla9[[#This Row],[COMPROMISO]]*Tabla9[[#This Row],[DIAS]]</f>
        <v>15805.617744488742</v>
      </c>
      <c r="AO272" s="14">
        <f>+Tabla9[[#This Row],[PROYECTADO_FTP_MONTO]]-Tabla9[[#This Row],[PROYECCION_INTERES]]</f>
        <v>2553.6220126365388</v>
      </c>
      <c r="AP272" s="3">
        <f>Tabla9[[#This Row],[PROYECCION_MARGEN(FTP - Int compromiso)]]-Tabla9[[#This Row],[REAL_MARGEN(FTP - Int)]]</f>
        <v>806.14911587169991</v>
      </c>
    </row>
    <row r="273" spans="1:42" x14ac:dyDescent="0.35">
      <c r="A273">
        <v>202604</v>
      </c>
      <c r="B273" s="7">
        <v>46142</v>
      </c>
      <c r="C273">
        <v>20818872</v>
      </c>
      <c r="D273" t="s">
        <v>36</v>
      </c>
      <c r="E273" t="s">
        <v>38</v>
      </c>
      <c r="F273" t="s">
        <v>229</v>
      </c>
      <c r="G273" t="s">
        <v>38</v>
      </c>
      <c r="H273" t="s">
        <v>507</v>
      </c>
      <c r="I273" t="s">
        <v>244</v>
      </c>
      <c r="J273" t="str">
        <f t="shared" ref="J273:J275" si="304">IF(I273="SOLES","4.4963","3.388")</f>
        <v>3.388</v>
      </c>
      <c r="K273" t="s">
        <v>32</v>
      </c>
      <c r="L273" t="s">
        <v>33</v>
      </c>
      <c r="M273" t="s">
        <v>34</v>
      </c>
      <c r="N273" t="s">
        <v>474</v>
      </c>
      <c r="O273" t="s">
        <v>44</v>
      </c>
      <c r="P273" s="3">
        <v>3663313.8516000002</v>
      </c>
      <c r="Q273" s="3">
        <v>3749446.9005</v>
      </c>
      <c r="R273" s="4">
        <v>3.39E-2</v>
      </c>
      <c r="S273" s="3">
        <f>+Tabla9[[#This Row],[SAL_PROM_SOL]]</f>
        <v>3663313.8516000002</v>
      </c>
      <c r="T273" s="4">
        <v>2.5000000000000001E-2</v>
      </c>
      <c r="U273" s="4">
        <v>8.8999999999999999E-3</v>
      </c>
      <c r="V273" s="3">
        <v>10185.530199999999</v>
      </c>
      <c r="W273" s="3">
        <v>7545.3001000000004</v>
      </c>
      <c r="X273" s="3">
        <v>2640.2301000000002</v>
      </c>
      <c r="Y273" s="3">
        <v>43.037500000000001</v>
      </c>
      <c r="Z273" s="3">
        <v>2597.1925999999999</v>
      </c>
      <c r="AA273">
        <v>30</v>
      </c>
      <c r="AB273" t="b">
        <f t="shared" si="279"/>
        <v>1</v>
      </c>
      <c r="AC273" s="3">
        <v>1000000</v>
      </c>
      <c r="AD273" t="s">
        <v>46</v>
      </c>
      <c r="AE273" s="8">
        <v>46155.560022106481</v>
      </c>
      <c r="AF273" s="6">
        <f t="shared" ref="AF273:AF275" si="305">S273/AC273</f>
        <v>3.6633138516000003</v>
      </c>
      <c r="AG273" s="6" t="b">
        <f>+Tabla9[[#This Row],[CUMPLIMIENTO]]&lt;100%</f>
        <v>0</v>
      </c>
      <c r="AH273" s="12">
        <f>((( (Tabla9[[#This Row],[FTP_CIERRE_MES]]/100)+1)^(30/360) -1)*(36000/30))/36000</f>
        <v>9.2680593701059222E-5</v>
      </c>
      <c r="AI273" s="3">
        <f>Tabla9[[#This Row],[FTP_DIARIO]]*Tabla9[[#This Row],[SALDO_PROM_CORREGIDO]]*Tabla9[[#This Row],[DIAS]]</f>
        <v>10185.543080388059</v>
      </c>
      <c r="AJ273" s="3">
        <f>Tabla9[[#This Row],[REAL_FTP_MONTO]]-Tabla9[[#This Row],[INT_REAL]]</f>
        <v>2640.2429803880586</v>
      </c>
      <c r="AK273" s="3">
        <f>Tabla9[[#This Row],[FTP_DIARIO]]*Tabla9[[#This Row],[COMPROMISO]]*Tabla9[[#This Row],[DIAS]]</f>
        <v>2780.4178110317766</v>
      </c>
      <c r="AL273" s="13">
        <f>((( (Tabla9[[#This Row],[TASA_INT]])+1)^(30/360) -1)*(36000/30))/36000</f>
        <v>6.8661208994758022E-5</v>
      </c>
      <c r="AM273" s="3">
        <f>Tabla9[[#This Row],[TEA DIARIA]]*Tabla9[[#This Row],[SALDO_PROM_CORREGIDO]]*Tabla9[[#This Row],[DIAS]]</f>
        <v>7545.8267393429878</v>
      </c>
      <c r="AN273" s="3">
        <f>Tabla9[[#This Row],[TEA DIARIA]]*Tabla9[[#This Row],[COMPROMISO]]*Tabla9[[#This Row],[DIAS]]</f>
        <v>2059.8362698427409</v>
      </c>
      <c r="AO273" s="14">
        <f>+Tabla9[[#This Row],[PROYECTADO_FTP_MONTO]]-Tabla9[[#This Row],[PROYECCION_INTERES]]</f>
        <v>720.58154118903576</v>
      </c>
      <c r="AP273" s="3">
        <f>Tabla9[[#This Row],[PROYECCION_MARGEN(FTP - Int compromiso)]]-Tabla9[[#This Row],[REAL_MARGEN(FTP - Int)]]</f>
        <v>-1919.6614391990229</v>
      </c>
    </row>
    <row r="274" spans="1:42" x14ac:dyDescent="0.35">
      <c r="A274">
        <v>202604</v>
      </c>
      <c r="B274" s="7">
        <v>46142</v>
      </c>
      <c r="C274">
        <v>20818872</v>
      </c>
      <c r="D274" t="s">
        <v>36</v>
      </c>
      <c r="E274" t="s">
        <v>38</v>
      </c>
      <c r="F274" t="s">
        <v>229</v>
      </c>
      <c r="G274" t="s">
        <v>38</v>
      </c>
      <c r="H274" t="s">
        <v>507</v>
      </c>
      <c r="I274" t="s">
        <v>244</v>
      </c>
      <c r="J274" t="str">
        <f t="shared" si="304"/>
        <v>3.388</v>
      </c>
      <c r="K274" t="s">
        <v>32</v>
      </c>
      <c r="L274" t="s">
        <v>33</v>
      </c>
      <c r="M274" t="s">
        <v>34</v>
      </c>
      <c r="N274" t="s">
        <v>475</v>
      </c>
      <c r="O274" t="s">
        <v>44</v>
      </c>
      <c r="P274" s="3">
        <v>5128371.4648000002</v>
      </c>
      <c r="Q274" s="3">
        <v>5235291.4754999997</v>
      </c>
      <c r="R274" s="4">
        <v>3.39E-2</v>
      </c>
      <c r="S274" s="3">
        <f>+Tabla9[[#This Row],[SAL_PROM_SOL]]</f>
        <v>5128371.4648000002</v>
      </c>
      <c r="T274" s="4">
        <v>2.5000000000000001E-2</v>
      </c>
      <c r="U274" s="4">
        <v>8.8999999999999999E-3</v>
      </c>
      <c r="V274" s="3">
        <v>14259.0124</v>
      </c>
      <c r="W274" s="3">
        <v>10562.883</v>
      </c>
      <c r="X274" s="3">
        <v>3696.1293999999998</v>
      </c>
      <c r="Y274" s="3">
        <v>0</v>
      </c>
      <c r="Z274" s="3">
        <v>3696.1293999999998</v>
      </c>
      <c r="AA274">
        <v>30</v>
      </c>
      <c r="AB274" t="b">
        <f t="shared" si="279"/>
        <v>1</v>
      </c>
      <c r="AC274" s="3">
        <v>1000000</v>
      </c>
      <c r="AD274" t="s">
        <v>46</v>
      </c>
      <c r="AE274" s="8">
        <v>46155.560022106481</v>
      </c>
      <c r="AF274" s="6">
        <f t="shared" si="305"/>
        <v>5.1283714647999998</v>
      </c>
      <c r="AG274" s="6" t="b">
        <f>+Tabla9[[#This Row],[CUMPLIMIENTO]]&lt;100%</f>
        <v>0</v>
      </c>
      <c r="AH274" s="12">
        <f>((( (Tabla9[[#This Row],[FTP_CIERRE_MES]]/100)+1)^(30/360) -1)*(36000/30))/36000</f>
        <v>9.2680593701059222E-5</v>
      </c>
      <c r="AI274" s="3">
        <f>Tabla9[[#This Row],[FTP_DIARIO]]*Tabla9[[#This Row],[SALDO_PROM_CORREGIDO]]*Tabla9[[#This Row],[DIAS]]</f>
        <v>14259.015362317043</v>
      </c>
      <c r="AJ274" s="3">
        <f>Tabla9[[#This Row],[REAL_FTP_MONTO]]-Tabla9[[#This Row],[INT_REAL]]</f>
        <v>3696.1323623170429</v>
      </c>
      <c r="AK274" s="3">
        <f>Tabla9[[#This Row],[FTP_DIARIO]]*Tabla9[[#This Row],[COMPROMISO]]*Tabla9[[#This Row],[DIAS]]</f>
        <v>2780.4178110317766</v>
      </c>
      <c r="AL274" s="13">
        <f>((( (Tabla9[[#This Row],[TASA_INT]])+1)^(30/360) -1)*(36000/30))/36000</f>
        <v>6.8661208994758022E-5</v>
      </c>
      <c r="AM274" s="3">
        <f>Tabla9[[#This Row],[TEA DIARIA]]*Tabla9[[#This Row],[SALDO_PROM_CORREGIDO]]*Tabla9[[#This Row],[DIAS]]</f>
        <v>10563.605548421583</v>
      </c>
      <c r="AN274" s="3">
        <f>Tabla9[[#This Row],[TEA DIARIA]]*Tabla9[[#This Row],[COMPROMISO]]*Tabla9[[#This Row],[DIAS]]</f>
        <v>2059.8362698427409</v>
      </c>
      <c r="AO274" s="14">
        <f>+Tabla9[[#This Row],[PROYECTADO_FTP_MONTO]]-Tabla9[[#This Row],[PROYECCION_INTERES]]</f>
        <v>720.58154118903576</v>
      </c>
      <c r="AP274" s="3">
        <f>Tabla9[[#This Row],[PROYECCION_MARGEN(FTP - Int compromiso)]]-Tabla9[[#This Row],[REAL_MARGEN(FTP - Int)]]</f>
        <v>-2975.5508211280071</v>
      </c>
    </row>
    <row r="275" spans="1:42" x14ac:dyDescent="0.35">
      <c r="A275">
        <v>202604</v>
      </c>
      <c r="B275" s="7">
        <v>46142</v>
      </c>
      <c r="C275">
        <v>20818872</v>
      </c>
      <c r="D275" t="s">
        <v>36</v>
      </c>
      <c r="E275" t="s">
        <v>38</v>
      </c>
      <c r="F275" t="s">
        <v>229</v>
      </c>
      <c r="G275" t="s">
        <v>38</v>
      </c>
      <c r="H275" t="s">
        <v>507</v>
      </c>
      <c r="I275" t="s">
        <v>244</v>
      </c>
      <c r="J275" t="str">
        <f t="shared" si="304"/>
        <v>3.388</v>
      </c>
      <c r="K275" t="s">
        <v>32</v>
      </c>
      <c r="L275" t="s">
        <v>33</v>
      </c>
      <c r="M275" t="s">
        <v>34</v>
      </c>
      <c r="N275" t="s">
        <v>476</v>
      </c>
      <c r="O275" t="s">
        <v>44</v>
      </c>
      <c r="P275" s="3">
        <v>3025702.4092000001</v>
      </c>
      <c r="Q275" s="3">
        <v>7850.6473999999998</v>
      </c>
      <c r="R275" s="4">
        <v>3.39E-2</v>
      </c>
      <c r="S275" s="3">
        <f>+Tabla9[[#This Row],[SAL_PROM_SOL]]</f>
        <v>3025702.4092000001</v>
      </c>
      <c r="T275" s="4">
        <v>2.5000000000000001E-2</v>
      </c>
      <c r="U275" s="4">
        <v>8.8999999999999999E-3</v>
      </c>
      <c r="V275" s="3">
        <v>8412.7294999999995</v>
      </c>
      <c r="W275" s="3">
        <v>6232.0366000000004</v>
      </c>
      <c r="X275" s="3">
        <v>2180.6929</v>
      </c>
      <c r="Y275" s="3">
        <v>0</v>
      </c>
      <c r="Z275" s="3">
        <v>2180.6929</v>
      </c>
      <c r="AA275">
        <v>30</v>
      </c>
      <c r="AB275" t="b">
        <f t="shared" si="279"/>
        <v>1</v>
      </c>
      <c r="AC275" s="3">
        <v>100000</v>
      </c>
      <c r="AD275" t="s">
        <v>46</v>
      </c>
      <c r="AE275" s="8">
        <v>46155.560022106481</v>
      </c>
      <c r="AF275" s="6">
        <f t="shared" si="305"/>
        <v>30.257024092000002</v>
      </c>
      <c r="AG275" s="6" t="b">
        <f>+Tabla9[[#This Row],[CUMPLIMIENTO]]&lt;100%</f>
        <v>0</v>
      </c>
      <c r="AH275" s="12">
        <f>((( (Tabla9[[#This Row],[FTP_CIERRE_MES]]/100)+1)^(30/360) -1)*(36000/30))/36000</f>
        <v>9.2680593701059222E-5</v>
      </c>
      <c r="AI275" s="3">
        <f>Tabla9[[#This Row],[FTP_DIARIO]]*Tabla9[[#This Row],[SALDO_PROM_CORREGIDO]]*Tabla9[[#This Row],[DIAS]]</f>
        <v>8412.7168694214379</v>
      </c>
      <c r="AJ275" s="3">
        <f>Tabla9[[#This Row],[REAL_FTP_MONTO]]-Tabla9[[#This Row],[INT_REAL]]</f>
        <v>2180.6802694214375</v>
      </c>
      <c r="AK275" s="3">
        <f>Tabla9[[#This Row],[FTP_DIARIO]]*Tabla9[[#This Row],[COMPROMISO]]*Tabla9[[#This Row],[DIAS]]</f>
        <v>278.04178110317764</v>
      </c>
      <c r="AL275" s="13">
        <f>((( (Tabla9[[#This Row],[TASA_INT]])+1)^(30/360) -1)*(36000/30))/36000</f>
        <v>6.8661208994758022E-5</v>
      </c>
      <c r="AM275" s="3">
        <f>Tabla9[[#This Row],[TEA DIARIA]]*Tabla9[[#This Row],[SALDO_PROM_CORREGIDO]]*Tabla9[[#This Row],[DIAS]]</f>
        <v>6232.4515642207225</v>
      </c>
      <c r="AN275" s="3">
        <f>Tabla9[[#This Row],[TEA DIARIA]]*Tabla9[[#This Row],[COMPROMISO]]*Tabla9[[#This Row],[DIAS]]</f>
        <v>205.98362698427405</v>
      </c>
      <c r="AO275" s="14">
        <f>+Tabla9[[#This Row],[PROYECTADO_FTP_MONTO]]-Tabla9[[#This Row],[PROYECCION_INTERES]]</f>
        <v>72.058154118903587</v>
      </c>
      <c r="AP275" s="3">
        <f>Tabla9[[#This Row],[PROYECCION_MARGEN(FTP - Int compromiso)]]-Tabla9[[#This Row],[REAL_MARGEN(FTP - Int)]]</f>
        <v>-2108.622115302534</v>
      </c>
    </row>
    <row r="276" spans="1:42" x14ac:dyDescent="0.35">
      <c r="A276">
        <v>202604</v>
      </c>
      <c r="B276" s="7">
        <v>46142</v>
      </c>
      <c r="C276">
        <v>20937276</v>
      </c>
      <c r="D276" t="s">
        <v>36</v>
      </c>
      <c r="E276" t="s">
        <v>38</v>
      </c>
      <c r="F276" t="s">
        <v>230</v>
      </c>
      <c r="G276" t="s">
        <v>38</v>
      </c>
      <c r="H276" t="s">
        <v>530</v>
      </c>
      <c r="I276" t="s">
        <v>243</v>
      </c>
      <c r="J276" t="str">
        <f t="shared" ref="J276" si="306">IF(I276="SOLES","4.4963","3.388")</f>
        <v>4.4963</v>
      </c>
      <c r="K276" t="s">
        <v>32</v>
      </c>
      <c r="L276" t="s">
        <v>41</v>
      </c>
      <c r="M276" t="s">
        <v>31</v>
      </c>
      <c r="N276" t="s">
        <v>477</v>
      </c>
      <c r="O276" t="s">
        <v>44</v>
      </c>
      <c r="P276" s="3">
        <v>12290301.658500001</v>
      </c>
      <c r="Q276" s="3">
        <v>12323492.470000001</v>
      </c>
      <c r="R276" s="4">
        <v>4.4999999999999998E-2</v>
      </c>
      <c r="S276" s="3">
        <f>+Tabla9[[#This Row],[SAL_PROM_SOL]]</f>
        <v>12290301.658500001</v>
      </c>
      <c r="T276" s="4">
        <v>3.4299999999999997E-2</v>
      </c>
      <c r="U276" s="4">
        <v>1.0699999999999999E-2</v>
      </c>
      <c r="V276" s="3">
        <v>45128.120600000002</v>
      </c>
      <c r="W276" s="3">
        <v>34585.998899999999</v>
      </c>
      <c r="X276" s="3">
        <v>10542.1217</v>
      </c>
      <c r="Y276" s="3">
        <v>0</v>
      </c>
      <c r="Z276" s="3">
        <v>10542.1217</v>
      </c>
      <c r="AA276">
        <v>30</v>
      </c>
      <c r="AB276" t="b">
        <f t="shared" si="279"/>
        <v>1</v>
      </c>
      <c r="AC276" s="3">
        <v>12000000</v>
      </c>
      <c r="AD276" t="s">
        <v>45</v>
      </c>
      <c r="AE276" s="8">
        <v>46155.560022106481</v>
      </c>
      <c r="AF276" s="6">
        <f t="shared" ref="AF276" si="307">S276/AC276</f>
        <v>1.0241918048750001</v>
      </c>
      <c r="AG276" s="6" t="b">
        <f>+Tabla9[[#This Row],[CUMPLIMIENTO]]&lt;100%</f>
        <v>0</v>
      </c>
      <c r="AH276" s="12">
        <f>((( (Tabla9[[#This Row],[FTP_CIERRE_MES]]/100)+1)^(30/360) -1)*(36000/30))/36000</f>
        <v>1.2239493171416853E-4</v>
      </c>
      <c r="AI276" s="3">
        <f>Tabla9[[#This Row],[FTP_DIARIO]]*Tabla9[[#This Row],[SALDO_PROM_CORREGIDO]]*Tabla9[[#This Row],[DIAS]]</f>
        <v>45128.118967159193</v>
      </c>
      <c r="AJ276" s="3">
        <f>Tabla9[[#This Row],[REAL_FTP_MONTO]]-Tabla9[[#This Row],[INT_REAL]]</f>
        <v>10542.120067159194</v>
      </c>
      <c r="AK276" s="3">
        <f>Tabla9[[#This Row],[FTP_DIARIO]]*Tabla9[[#This Row],[COMPROMISO]]*Tabla9[[#This Row],[DIAS]]</f>
        <v>44062.175417100669</v>
      </c>
      <c r="AL276" s="13">
        <f>((( (Tabla9[[#This Row],[TASA_INT]])+1)^(30/360) -1)*(36000/30))/36000</f>
        <v>9.3811955867077276E-5</v>
      </c>
      <c r="AM276" s="3">
        <f>Tabla9[[#This Row],[TEA DIARIA]]*Tabla9[[#This Row],[SALDO_PROM_CORREGIDO]]*Tabla9[[#This Row],[DIAS]]</f>
        <v>34589.317103408059</v>
      </c>
      <c r="AN276" s="3">
        <f>Tabla9[[#This Row],[TEA DIARIA]]*Tabla9[[#This Row],[COMPROMISO]]*Tabla9[[#This Row],[DIAS]]</f>
        <v>33772.304112147824</v>
      </c>
      <c r="AO276" s="14">
        <f>+Tabla9[[#This Row],[PROYECTADO_FTP_MONTO]]-Tabla9[[#This Row],[PROYECCION_INTERES]]</f>
        <v>10289.871304952845</v>
      </c>
      <c r="AP276" s="3">
        <f>Tabla9[[#This Row],[PROYECCION_MARGEN(FTP - Int compromiso)]]-Tabla9[[#This Row],[REAL_MARGEN(FTP - Int)]]</f>
        <v>-252.24876220634906</v>
      </c>
    </row>
    <row r="277" spans="1:42" x14ac:dyDescent="0.35">
      <c r="A277">
        <v>202604</v>
      </c>
      <c r="B277" s="7">
        <v>46142</v>
      </c>
      <c r="C277">
        <v>21261926</v>
      </c>
      <c r="D277" t="s">
        <v>36</v>
      </c>
      <c r="E277" t="s">
        <v>38</v>
      </c>
      <c r="F277" t="s">
        <v>231</v>
      </c>
      <c r="G277" t="s">
        <v>38</v>
      </c>
      <c r="H277" t="s">
        <v>528</v>
      </c>
      <c r="I277" t="s">
        <v>244</v>
      </c>
      <c r="J277" t="str">
        <f t="shared" ref="J277" si="308">IF(I277="SOLES","4.4963","3.388")</f>
        <v>3.388</v>
      </c>
      <c r="K277" t="s">
        <v>32</v>
      </c>
      <c r="L277" t="s">
        <v>33</v>
      </c>
      <c r="M277" t="s">
        <v>34</v>
      </c>
      <c r="N277" t="s">
        <v>478</v>
      </c>
      <c r="O277" t="s">
        <v>44</v>
      </c>
      <c r="P277" s="3">
        <v>30231937.911800001</v>
      </c>
      <c r="Q277" s="3">
        <v>26310071.513300002</v>
      </c>
      <c r="R277" s="4">
        <v>3.39E-2</v>
      </c>
      <c r="S277" s="3">
        <f>+Tabla9[[#This Row],[SAL_PROM_SOL]]</f>
        <v>30231937.911800001</v>
      </c>
      <c r="T277" s="4">
        <v>3.1E-2</v>
      </c>
      <c r="U277" s="4">
        <v>2.8999999999999998E-3</v>
      </c>
      <c r="V277" s="3">
        <v>84057.402000000002</v>
      </c>
      <c r="W277" s="3">
        <v>77059.0913</v>
      </c>
      <c r="X277" s="3">
        <v>6998.3107</v>
      </c>
      <c r="Y277" s="3">
        <v>27.475100000000001</v>
      </c>
      <c r="Z277" s="3">
        <v>6970.8356000000003</v>
      </c>
      <c r="AA277">
        <v>30</v>
      </c>
      <c r="AB277" t="b">
        <f t="shared" si="279"/>
        <v>1</v>
      </c>
      <c r="AC277" s="3">
        <v>10000000</v>
      </c>
      <c r="AD277" t="s">
        <v>46</v>
      </c>
      <c r="AE277" s="8">
        <v>46155.560022106481</v>
      </c>
      <c r="AF277" s="6">
        <f t="shared" ref="AF277" si="309">S277/AC277</f>
        <v>3.0231937911800002</v>
      </c>
      <c r="AG277" s="6" t="b">
        <f>+Tabla9[[#This Row],[CUMPLIMIENTO]]&lt;100%</f>
        <v>0</v>
      </c>
      <c r="AH277" s="12">
        <f>((( (Tabla9[[#This Row],[FTP_CIERRE_MES]]/100)+1)^(30/360) -1)*(36000/30))/36000</f>
        <v>9.2680593701059222E-5</v>
      </c>
      <c r="AI277" s="3">
        <f>Tabla9[[#This Row],[FTP_DIARIO]]*Tabla9[[#This Row],[SALDO_PROM_CORREGIDO]]*Tabla9[[#This Row],[DIAS]]</f>
        <v>84057.418631975539</v>
      </c>
      <c r="AJ277" s="3">
        <f>Tabla9[[#This Row],[REAL_FTP_MONTO]]-Tabla9[[#This Row],[INT_REAL]]</f>
        <v>6998.327331975539</v>
      </c>
      <c r="AK277" s="3">
        <f>Tabla9[[#This Row],[FTP_DIARIO]]*Tabla9[[#This Row],[COMPROMISO]]*Tabla9[[#This Row],[DIAS]]</f>
        <v>27804.178110317764</v>
      </c>
      <c r="AL277" s="13">
        <f>((( (Tabla9[[#This Row],[TASA_INT]])+1)^(30/360) -1)*(36000/30))/36000</f>
        <v>8.4911312973775152E-5</v>
      </c>
      <c r="AM277" s="3">
        <f>Tabla9[[#This Row],[TEA DIARIA]]*Tabla9[[#This Row],[SALDO_PROM_CORREGIDO]]*Tabla9[[#This Row],[DIAS]]</f>
        <v>77011.006254977648</v>
      </c>
      <c r="AN277" s="3">
        <f>Tabla9[[#This Row],[TEA DIARIA]]*Tabla9[[#This Row],[COMPROMISO]]*Tabla9[[#This Row],[DIAS]]</f>
        <v>25473.393892132546</v>
      </c>
      <c r="AO277" s="14">
        <f>+Tabla9[[#This Row],[PROYECTADO_FTP_MONTO]]-Tabla9[[#This Row],[PROYECCION_INTERES]]</f>
        <v>2330.7842181852175</v>
      </c>
      <c r="AP277" s="3">
        <f>Tabla9[[#This Row],[PROYECCION_MARGEN(FTP - Int compromiso)]]-Tabla9[[#This Row],[REAL_MARGEN(FTP - Int)]]</f>
        <v>-4667.5431137903215</v>
      </c>
    </row>
    <row r="278" spans="1:42" x14ac:dyDescent="0.35">
      <c r="A278">
        <v>202604</v>
      </c>
      <c r="B278" s="7">
        <v>46142</v>
      </c>
      <c r="C278">
        <v>21409887</v>
      </c>
      <c r="D278" t="s">
        <v>29</v>
      </c>
      <c r="E278" t="s">
        <v>35</v>
      </c>
      <c r="F278" t="s">
        <v>232</v>
      </c>
      <c r="G278" t="s">
        <v>35</v>
      </c>
      <c r="H278" t="s">
        <v>518</v>
      </c>
      <c r="I278" t="s">
        <v>244</v>
      </c>
      <c r="J278" t="str">
        <f t="shared" ref="J278" si="310">IF(I278="SOLES","4.4963","3.388")</f>
        <v>3.388</v>
      </c>
      <c r="K278" t="s">
        <v>32</v>
      </c>
      <c r="L278" t="s">
        <v>33</v>
      </c>
      <c r="M278" t="s">
        <v>34</v>
      </c>
      <c r="N278" t="s">
        <v>298</v>
      </c>
      <c r="O278" t="s">
        <v>44</v>
      </c>
      <c r="P278" s="3">
        <v>4003182.9515999998</v>
      </c>
      <c r="Q278" s="3">
        <v>1858694.4413999999</v>
      </c>
      <c r="R278" s="4">
        <v>3.39E-2</v>
      </c>
      <c r="S278" s="3">
        <f>+Tabla9[[#This Row],[SAL_PROM_SOL]]</f>
        <v>4003182.9515999998</v>
      </c>
      <c r="T278" s="4">
        <v>1.7899999999999999E-2</v>
      </c>
      <c r="U278" s="4">
        <v>1.6E-2</v>
      </c>
      <c r="V278" s="3">
        <v>11130.5304</v>
      </c>
      <c r="W278" s="3">
        <v>5937.9354999999996</v>
      </c>
      <c r="X278" s="3">
        <v>5192.5949000000001</v>
      </c>
      <c r="Y278" s="3">
        <v>42.555500000000002</v>
      </c>
      <c r="Z278" s="3">
        <v>5150.0393999999997</v>
      </c>
      <c r="AA278">
        <v>30</v>
      </c>
      <c r="AB278" t="b">
        <f t="shared" si="279"/>
        <v>1</v>
      </c>
      <c r="AC278" s="3">
        <v>1200000</v>
      </c>
      <c r="AD278" t="s">
        <v>46</v>
      </c>
      <c r="AE278" s="8">
        <v>46155.560022106481</v>
      </c>
      <c r="AF278" s="6">
        <f t="shared" ref="AF278" si="311">S278/AC278</f>
        <v>3.3359857929999999</v>
      </c>
      <c r="AG278" s="6" t="b">
        <f>+Tabla9[[#This Row],[CUMPLIMIENTO]]&lt;100%</f>
        <v>0</v>
      </c>
      <c r="AH278" s="12">
        <f>((( (Tabla9[[#This Row],[FTP_CIERRE_MES]]/100)+1)^(30/360) -1)*(36000/30))/36000</f>
        <v>9.2680593701059222E-5</v>
      </c>
      <c r="AI278" s="3">
        <f>Tabla9[[#This Row],[FTP_DIARIO]]*Tabla9[[#This Row],[SALDO_PROM_CORREGIDO]]*Tabla9[[#This Row],[DIAS]]</f>
        <v>11130.521179447398</v>
      </c>
      <c r="AJ278" s="3">
        <f>Tabla9[[#This Row],[REAL_FTP_MONTO]]-Tabla9[[#This Row],[INT_REAL]]</f>
        <v>5192.5856794473984</v>
      </c>
      <c r="AK278" s="3">
        <f>Tabla9[[#This Row],[FTP_DIARIO]]*Tabla9[[#This Row],[COMPROMISO]]*Tabla9[[#This Row],[DIAS]]</f>
        <v>3336.5013732381321</v>
      </c>
      <c r="AL278" s="13">
        <f>((( (Tabla9[[#This Row],[TASA_INT]])+1)^(30/360) -1)*(36000/30))/36000</f>
        <v>4.9318897901821462E-5</v>
      </c>
      <c r="AM278" s="3">
        <f>Tabla9[[#This Row],[TEA DIARIA]]*Tabla9[[#This Row],[SALDO_PROM_CORREGIDO]]*Tabla9[[#This Row],[DIAS]]</f>
        <v>5922.9771381681803</v>
      </c>
      <c r="AN278" s="3">
        <f>Tabla9[[#This Row],[TEA DIARIA]]*Tabla9[[#This Row],[COMPROMISO]]*Tabla9[[#This Row],[DIAS]]</f>
        <v>1775.4803244655725</v>
      </c>
      <c r="AO278" s="14">
        <f>+Tabla9[[#This Row],[PROYECTADO_FTP_MONTO]]-Tabla9[[#This Row],[PROYECCION_INTERES]]</f>
        <v>1561.0210487725597</v>
      </c>
      <c r="AP278" s="3">
        <f>Tabla9[[#This Row],[PROYECCION_MARGEN(FTP - Int compromiso)]]-Tabla9[[#This Row],[REAL_MARGEN(FTP - Int)]]</f>
        <v>-3631.5646306748386</v>
      </c>
    </row>
    <row r="279" spans="1:42" x14ac:dyDescent="0.35">
      <c r="A279">
        <v>202604</v>
      </c>
      <c r="B279" s="7">
        <v>46142</v>
      </c>
      <c r="C279">
        <v>21432306</v>
      </c>
      <c r="D279" t="s">
        <v>29</v>
      </c>
      <c r="E279" t="s">
        <v>30</v>
      </c>
      <c r="F279" t="s">
        <v>233</v>
      </c>
      <c r="G279" t="s">
        <v>30</v>
      </c>
      <c r="H279" t="s">
        <v>512</v>
      </c>
      <c r="I279" t="s">
        <v>243</v>
      </c>
      <c r="J279" t="str">
        <f t="shared" ref="J279" si="312">IF(I279="SOLES","4.4963","3.388")</f>
        <v>4.4963</v>
      </c>
      <c r="K279" t="s">
        <v>32</v>
      </c>
      <c r="L279" t="s">
        <v>33</v>
      </c>
      <c r="M279" t="s">
        <v>31</v>
      </c>
      <c r="N279" t="s">
        <v>479</v>
      </c>
      <c r="O279" t="s">
        <v>44</v>
      </c>
      <c r="P279" s="3">
        <v>6463145.8892000001</v>
      </c>
      <c r="Q279" s="3">
        <v>2060735.8</v>
      </c>
      <c r="R279" s="4">
        <v>4.4999999999999998E-2</v>
      </c>
      <c r="S279" s="3">
        <f>+Tabla9[[#This Row],[SAL_PROM_SOL]]</f>
        <v>6463145.8892000001</v>
      </c>
      <c r="T279" s="4">
        <v>0</v>
      </c>
      <c r="U279" s="4">
        <v>4.4999999999999998E-2</v>
      </c>
      <c r="V279" s="3">
        <v>23731.69</v>
      </c>
      <c r="W279" s="3">
        <v>8.2906999999999993</v>
      </c>
      <c r="X279" s="3">
        <v>23723.399300000001</v>
      </c>
      <c r="Y279" s="3">
        <v>43.9499</v>
      </c>
      <c r="Z279" s="3">
        <v>23679.449400000001</v>
      </c>
      <c r="AA279">
        <v>30</v>
      </c>
      <c r="AB279" t="b">
        <f t="shared" si="279"/>
        <v>1</v>
      </c>
      <c r="AC279" s="3">
        <v>10000</v>
      </c>
      <c r="AD279" t="s">
        <v>45</v>
      </c>
      <c r="AE279" s="8">
        <v>46155.560022106481</v>
      </c>
      <c r="AF279" s="6">
        <f t="shared" ref="AF279" si="313">S279/AC279</f>
        <v>646.31458892000001</v>
      </c>
      <c r="AG279" s="6" t="b">
        <f>+Tabla9[[#This Row],[CUMPLIMIENTO]]&lt;100%</f>
        <v>0</v>
      </c>
      <c r="AH279" s="12">
        <f>((( (Tabla9[[#This Row],[FTP_CIERRE_MES]]/100)+1)^(30/360) -1)*(36000/30))/36000</f>
        <v>1.2239493171416853E-4</v>
      </c>
      <c r="AI279" s="3">
        <f>Tabla9[[#This Row],[FTP_DIARIO]]*Tabla9[[#This Row],[SALDO_PROM_CORREGIDO]]*Tabla9[[#This Row],[DIAS]]</f>
        <v>23731.688993020292</v>
      </c>
      <c r="AJ279" s="3">
        <f>Tabla9[[#This Row],[REAL_FTP_MONTO]]-Tabla9[[#This Row],[INT_REAL]]</f>
        <v>23723.398293020291</v>
      </c>
      <c r="AK279" s="3">
        <f>Tabla9[[#This Row],[FTP_DIARIO]]*Tabla9[[#This Row],[COMPROMISO]]*Tabla9[[#This Row],[DIAS]]</f>
        <v>36.718479514250561</v>
      </c>
      <c r="AL279" s="13">
        <f>((( (Tabla9[[#This Row],[TASA_INT]])+1)^(30/360) -1)*(36000/30))/36000</f>
        <v>0</v>
      </c>
      <c r="AM279" s="3">
        <f>Tabla9[[#This Row],[TEA DIARIA]]*Tabla9[[#This Row],[SALDO_PROM_CORREGIDO]]*Tabla9[[#This Row],[DIAS]]</f>
        <v>0</v>
      </c>
      <c r="AN279" s="3">
        <f>Tabla9[[#This Row],[TEA DIARIA]]*Tabla9[[#This Row],[COMPROMISO]]*Tabla9[[#This Row],[DIAS]]</f>
        <v>0</v>
      </c>
      <c r="AO279" s="14">
        <f>+Tabla9[[#This Row],[PROYECTADO_FTP_MONTO]]-Tabla9[[#This Row],[PROYECCION_INTERES]]</f>
        <v>36.718479514250561</v>
      </c>
      <c r="AP279" s="3">
        <f>Tabla9[[#This Row],[PROYECCION_MARGEN(FTP - Int compromiso)]]-Tabla9[[#This Row],[REAL_MARGEN(FTP - Int)]]</f>
        <v>-23686.679813506042</v>
      </c>
    </row>
    <row r="280" spans="1:42" x14ac:dyDescent="0.35">
      <c r="A280">
        <v>202604</v>
      </c>
      <c r="B280" s="7">
        <v>46142</v>
      </c>
      <c r="C280">
        <v>21500979</v>
      </c>
      <c r="D280" t="s">
        <v>29</v>
      </c>
      <c r="E280" t="s">
        <v>30</v>
      </c>
      <c r="F280" t="s">
        <v>234</v>
      </c>
      <c r="G280" t="s">
        <v>30</v>
      </c>
      <c r="H280" t="s">
        <v>512</v>
      </c>
      <c r="I280" t="s">
        <v>243</v>
      </c>
      <c r="J280" t="str">
        <f t="shared" ref="J280:J281" si="314">IF(I280="SOLES","4.4963","3.388")</f>
        <v>4.4963</v>
      </c>
      <c r="K280" t="s">
        <v>32</v>
      </c>
      <c r="L280" t="s">
        <v>33</v>
      </c>
      <c r="M280" t="s">
        <v>31</v>
      </c>
      <c r="N280" t="s">
        <v>383</v>
      </c>
      <c r="O280" t="s">
        <v>44</v>
      </c>
      <c r="P280" s="3">
        <v>320431.39909999998</v>
      </c>
      <c r="Q280" s="3">
        <v>320421.77</v>
      </c>
      <c r="R280" s="4">
        <v>4.4999999999999998E-2</v>
      </c>
      <c r="S280" s="3">
        <f>+Tabla9[[#This Row],[SAL_PROM_SOL]]</f>
        <v>320431.39909999998</v>
      </c>
      <c r="T280" s="4">
        <v>1.5E-3</v>
      </c>
      <c r="U280" s="4">
        <v>4.3499999999999997E-2</v>
      </c>
      <c r="V280" s="3">
        <v>1176.5798</v>
      </c>
      <c r="W280" s="3">
        <v>40.028300000000002</v>
      </c>
      <c r="X280" s="3">
        <v>1136.5515</v>
      </c>
      <c r="Y280" s="3">
        <v>0</v>
      </c>
      <c r="Z280" s="3">
        <v>1136.5515</v>
      </c>
      <c r="AA280">
        <v>30</v>
      </c>
      <c r="AB280" t="b">
        <f t="shared" si="279"/>
        <v>1</v>
      </c>
      <c r="AC280" s="3">
        <v>2900000</v>
      </c>
      <c r="AD280" t="s">
        <v>46</v>
      </c>
      <c r="AE280" s="8">
        <v>46155.560022106481</v>
      </c>
      <c r="AF280" s="6">
        <f t="shared" ref="AF280:AF281" si="315">S280/AC280</f>
        <v>0.11049358589655171</v>
      </c>
      <c r="AG280" s="6" t="b">
        <f>+Tabla9[[#This Row],[CUMPLIMIENTO]]&lt;100%</f>
        <v>1</v>
      </c>
      <c r="AH280" s="12">
        <f>((( (Tabla9[[#This Row],[FTP_CIERRE_MES]]/100)+1)^(30/360) -1)*(36000/30))/36000</f>
        <v>1.2239493171416853E-4</v>
      </c>
      <c r="AI280" s="3">
        <f>Tabla9[[#This Row],[FTP_DIARIO]]*Tabla9[[#This Row],[SALDO_PROM_CORREGIDO]]*Tabla9[[#This Row],[DIAS]]</f>
        <v>1176.5753763575995</v>
      </c>
      <c r="AJ280" s="3">
        <f>Tabla9[[#This Row],[REAL_FTP_MONTO]]-Tabla9[[#This Row],[INT_REAL]]</f>
        <v>1136.5470763575995</v>
      </c>
      <c r="AK280" s="3">
        <f>Tabla9[[#This Row],[FTP_DIARIO]]*Tabla9[[#This Row],[COMPROMISO]]*Tabla9[[#This Row],[DIAS]]</f>
        <v>10648.359059132661</v>
      </c>
      <c r="AL280" s="13">
        <f>((( (Tabla9[[#This Row],[TASA_INT]])+1)^(30/360) -1)*(36000/30))/36000</f>
        <v>4.163804825559521E-6</v>
      </c>
      <c r="AM280" s="3">
        <f>Tabla9[[#This Row],[TEA DIARIA]]*Tabla9[[#This Row],[SALDO_PROM_CORREGIDO]]*Tabla9[[#This Row],[DIAS]]</f>
        <v>40.026414175001065</v>
      </c>
      <c r="AN280" s="3">
        <f>Tabla9[[#This Row],[TEA DIARIA]]*Tabla9[[#This Row],[COMPROMISO]]*Tabla9[[#This Row],[DIAS]]</f>
        <v>362.25101982367835</v>
      </c>
      <c r="AO280" s="14">
        <f>+Tabla9[[#This Row],[PROYECTADO_FTP_MONTO]]-Tabla9[[#This Row],[PROYECCION_INTERES]]</f>
        <v>10286.108039308983</v>
      </c>
      <c r="AP280" s="3">
        <f>Tabla9[[#This Row],[PROYECCION_MARGEN(FTP - Int compromiso)]]-Tabla9[[#This Row],[REAL_MARGEN(FTP - Int)]]</f>
        <v>9149.5609629513838</v>
      </c>
    </row>
    <row r="281" spans="1:42" x14ac:dyDescent="0.35">
      <c r="A281">
        <v>202604</v>
      </c>
      <c r="B281" s="7">
        <v>46142</v>
      </c>
      <c r="C281">
        <v>21500979</v>
      </c>
      <c r="D281" t="s">
        <v>29</v>
      </c>
      <c r="E281" t="s">
        <v>30</v>
      </c>
      <c r="F281" t="s">
        <v>234</v>
      </c>
      <c r="G281" t="s">
        <v>30</v>
      </c>
      <c r="H281" t="s">
        <v>512</v>
      </c>
      <c r="I281" t="s">
        <v>243</v>
      </c>
      <c r="J281" t="str">
        <f t="shared" si="314"/>
        <v>4.4963</v>
      </c>
      <c r="K281" t="s">
        <v>32</v>
      </c>
      <c r="L281" t="s">
        <v>33</v>
      </c>
      <c r="M281" t="s">
        <v>31</v>
      </c>
      <c r="N281" t="s">
        <v>480</v>
      </c>
      <c r="O281" t="s">
        <v>44</v>
      </c>
      <c r="P281" s="3">
        <v>302620.00949999999</v>
      </c>
      <c r="Q281" s="3">
        <v>295900.27</v>
      </c>
      <c r="R281" s="4">
        <v>4.4999999999999998E-2</v>
      </c>
      <c r="S281" s="3">
        <f>+Tabla9[[#This Row],[SAL_PROM_SOL]]</f>
        <v>302620.00949999999</v>
      </c>
      <c r="T281" s="4">
        <v>1.5E-3</v>
      </c>
      <c r="U281" s="4">
        <v>4.3499999999999997E-2</v>
      </c>
      <c r="V281" s="3">
        <v>1111.1696999999999</v>
      </c>
      <c r="W281" s="3">
        <v>37.800699999999999</v>
      </c>
      <c r="X281" s="3">
        <v>1073.3689999999999</v>
      </c>
      <c r="Y281" s="3">
        <v>43.9499</v>
      </c>
      <c r="Z281" s="3">
        <v>1029.4191000000001</v>
      </c>
      <c r="AA281">
        <v>30</v>
      </c>
      <c r="AB281" t="b">
        <f t="shared" si="279"/>
        <v>1</v>
      </c>
      <c r="AC281" s="3">
        <v>300000</v>
      </c>
      <c r="AD281" t="s">
        <v>46</v>
      </c>
      <c r="AE281" s="8">
        <v>46155.560022106481</v>
      </c>
      <c r="AF281" s="6">
        <f t="shared" si="315"/>
        <v>1.0087333649999999</v>
      </c>
      <c r="AG281" s="6" t="b">
        <f>+Tabla9[[#This Row],[CUMPLIMIENTO]]&lt;100%</f>
        <v>0</v>
      </c>
      <c r="AH281" s="12">
        <f>((( (Tabla9[[#This Row],[FTP_CIERRE_MES]]/100)+1)^(30/360) -1)*(36000/30))/36000</f>
        <v>1.2239493171416853E-4</v>
      </c>
      <c r="AI281" s="3">
        <f>Tabla9[[#This Row],[FTP_DIARIO]]*Tabla9[[#This Row],[SALDO_PROM_CORREGIDO]]*Tabla9[[#This Row],[DIAS]]</f>
        <v>1111.1746619428059</v>
      </c>
      <c r="AJ281" s="3">
        <f>Tabla9[[#This Row],[REAL_FTP_MONTO]]-Tabla9[[#This Row],[INT_REAL]]</f>
        <v>1073.3739619428059</v>
      </c>
      <c r="AK281" s="3">
        <f>Tabla9[[#This Row],[FTP_DIARIO]]*Tabla9[[#This Row],[COMPROMISO]]*Tabla9[[#This Row],[DIAS]]</f>
        <v>1101.5543854275168</v>
      </c>
      <c r="AL281" s="13">
        <f>((( (Tabla9[[#This Row],[TASA_INT]])+1)^(30/360) -1)*(36000/30))/36000</f>
        <v>4.163804825559521E-6</v>
      </c>
      <c r="AM281" s="3">
        <f>Tabla9[[#This Row],[TEA DIARIA]]*Tabla9[[#This Row],[SALDO_PROM_CORREGIDO]]*Tabla9[[#This Row],[DIAS]]</f>
        <v>37.801519676009036</v>
      </c>
      <c r="AN281" s="3">
        <f>Tabla9[[#This Row],[TEA DIARIA]]*Tabla9[[#This Row],[COMPROMISO]]*Tabla9[[#This Row],[DIAS]]</f>
        <v>37.474243430035692</v>
      </c>
      <c r="AO281" s="14">
        <f>+Tabla9[[#This Row],[PROYECTADO_FTP_MONTO]]-Tabla9[[#This Row],[PROYECCION_INTERES]]</f>
        <v>1064.0801419974812</v>
      </c>
      <c r="AP281" s="3">
        <f>Tabla9[[#This Row],[PROYECCION_MARGEN(FTP - Int compromiso)]]-Tabla9[[#This Row],[REAL_MARGEN(FTP - Int)]]</f>
        <v>-9.2938199453246852</v>
      </c>
    </row>
    <row r="282" spans="1:42" x14ac:dyDescent="0.35">
      <c r="A282">
        <v>202604</v>
      </c>
      <c r="B282" s="7">
        <v>46142</v>
      </c>
      <c r="C282">
        <v>21661849</v>
      </c>
      <c r="D282" t="s">
        <v>29</v>
      </c>
      <c r="E282" t="s">
        <v>35</v>
      </c>
      <c r="F282" t="s">
        <v>235</v>
      </c>
      <c r="G282" t="s">
        <v>35</v>
      </c>
      <c r="H282" t="s">
        <v>513</v>
      </c>
      <c r="I282" t="s">
        <v>244</v>
      </c>
      <c r="J282" t="str">
        <f t="shared" ref="J282" si="316">IF(I282="SOLES","4.4963","3.388")</f>
        <v>3.388</v>
      </c>
      <c r="K282" t="s">
        <v>32</v>
      </c>
      <c r="L282" t="s">
        <v>33</v>
      </c>
      <c r="M282" t="s">
        <v>34</v>
      </c>
      <c r="N282" t="s">
        <v>481</v>
      </c>
      <c r="O282" t="s">
        <v>44</v>
      </c>
      <c r="P282" s="3">
        <v>631183.91229999997</v>
      </c>
      <c r="Q282" s="3">
        <v>559441.20640000002</v>
      </c>
      <c r="R282" s="4">
        <v>3.39E-2</v>
      </c>
      <c r="S282" s="3">
        <f>+Tabla9[[#This Row],[SAL_PROM_SOL]]</f>
        <v>631183.91229999997</v>
      </c>
      <c r="T282" s="4">
        <v>1.0800000000000001E-2</v>
      </c>
      <c r="U282" s="4">
        <v>2.3099999999999999E-2</v>
      </c>
      <c r="V282" s="3">
        <v>1754.9659999999999</v>
      </c>
      <c r="W282" s="3">
        <v>565.27170000000001</v>
      </c>
      <c r="X282" s="3">
        <v>1189.6943000000001</v>
      </c>
      <c r="Y282" s="3">
        <v>35.084200000000003</v>
      </c>
      <c r="Z282" s="3">
        <v>1154.6101000000001</v>
      </c>
      <c r="AA282">
        <v>30</v>
      </c>
      <c r="AB282" t="b">
        <f t="shared" si="279"/>
        <v>1</v>
      </c>
      <c r="AC282" s="3">
        <v>150000</v>
      </c>
      <c r="AD282" t="s">
        <v>46</v>
      </c>
      <c r="AE282" s="8">
        <v>46155.560022106481</v>
      </c>
      <c r="AF282" s="6">
        <f t="shared" ref="AF282" si="317">S282/AC282</f>
        <v>4.2078927486666666</v>
      </c>
      <c r="AG282" s="6" t="b">
        <f>+Tabla9[[#This Row],[CUMPLIMIENTO]]&lt;100%</f>
        <v>0</v>
      </c>
      <c r="AH282" s="12">
        <f>((( (Tabla9[[#This Row],[FTP_CIERRE_MES]]/100)+1)^(30/360) -1)*(36000/30))/36000</f>
        <v>9.2680593701059222E-5</v>
      </c>
      <c r="AI282" s="3">
        <f>Tabla9[[#This Row],[FTP_DIARIO]]*Tabla9[[#This Row],[SALDO_PROM_CORREGIDO]]*Tabla9[[#This Row],[DIAS]]</f>
        <v>1754.9549917956388</v>
      </c>
      <c r="AJ282" s="3">
        <f>Tabla9[[#This Row],[REAL_FTP_MONTO]]-Tabla9[[#This Row],[INT_REAL]]</f>
        <v>1189.6832917956388</v>
      </c>
      <c r="AK282" s="3">
        <f>Tabla9[[#This Row],[FTP_DIARIO]]*Tabla9[[#This Row],[COMPROMISO]]*Tabla9[[#This Row],[DIAS]]</f>
        <v>417.06267165476652</v>
      </c>
      <c r="AL282" s="13">
        <f>((( (Tabla9[[#This Row],[TASA_INT]])+1)^(30/360) -1)*(36000/30))/36000</f>
        <v>2.9852516648546747E-5</v>
      </c>
      <c r="AM282" s="3">
        <f>Tabla9[[#This Row],[TEA DIARIA]]*Tabla9[[#This Row],[SALDO_PROM_CORREGIDO]]*Tabla9[[#This Row],[DIAS]]</f>
        <v>565.27284750691854</v>
      </c>
      <c r="AN282" s="3">
        <f>Tabla9[[#This Row],[TEA DIARIA]]*Tabla9[[#This Row],[COMPROMISO]]*Tabla9[[#This Row],[DIAS]]</f>
        <v>134.33632491846038</v>
      </c>
      <c r="AO282" s="14">
        <f>+Tabla9[[#This Row],[PROYECTADO_FTP_MONTO]]-Tabla9[[#This Row],[PROYECCION_INTERES]]</f>
        <v>282.72634673630614</v>
      </c>
      <c r="AP282" s="3">
        <f>Tabla9[[#This Row],[PROYECCION_MARGEN(FTP - Int compromiso)]]-Tabla9[[#This Row],[REAL_MARGEN(FTP - Int)]]</f>
        <v>-906.95694505933261</v>
      </c>
    </row>
    <row r="283" spans="1:42" x14ac:dyDescent="0.35">
      <c r="A283">
        <v>202604</v>
      </c>
      <c r="B283" s="7">
        <v>46142</v>
      </c>
      <c r="C283">
        <v>21673561</v>
      </c>
      <c r="D283" t="s">
        <v>42</v>
      </c>
      <c r="E283" t="s">
        <v>47</v>
      </c>
      <c r="F283" t="s">
        <v>236</v>
      </c>
      <c r="G283" t="s">
        <v>47</v>
      </c>
      <c r="H283" t="s">
        <v>500</v>
      </c>
      <c r="I283" t="s">
        <v>243</v>
      </c>
      <c r="J283" t="str">
        <f t="shared" ref="J283" si="318">IF(I283="SOLES","4.4963","3.388")</f>
        <v>4.4963</v>
      </c>
      <c r="K283" t="s">
        <v>32</v>
      </c>
      <c r="L283" t="s">
        <v>33</v>
      </c>
      <c r="M283" t="s">
        <v>31</v>
      </c>
      <c r="N283" t="s">
        <v>482</v>
      </c>
      <c r="O283" t="s">
        <v>44</v>
      </c>
      <c r="P283" s="3">
        <v>1908542.6895999999</v>
      </c>
      <c r="Q283" s="3">
        <v>2113471.65</v>
      </c>
      <c r="R283" s="4">
        <v>4.4999999999999998E-2</v>
      </c>
      <c r="S283" s="3">
        <f>+Tabla9[[#This Row],[SAL_PROM_SOL]]</f>
        <v>1908542.6895999999</v>
      </c>
      <c r="T283" s="4">
        <v>0.01</v>
      </c>
      <c r="U283" s="4">
        <v>3.5000000000000003E-2</v>
      </c>
      <c r="V283" s="3">
        <v>7007.8788000000004</v>
      </c>
      <c r="W283" s="3">
        <v>1583.36</v>
      </c>
      <c r="X283" s="3">
        <v>5424.5187999999998</v>
      </c>
      <c r="Y283" s="3">
        <v>43.9499</v>
      </c>
      <c r="Z283" s="3">
        <v>5380.5689000000002</v>
      </c>
      <c r="AA283">
        <v>30</v>
      </c>
      <c r="AB283" t="b">
        <f t="shared" si="279"/>
        <v>1</v>
      </c>
      <c r="AC283" s="3">
        <v>2000000</v>
      </c>
      <c r="AD283" t="s">
        <v>46</v>
      </c>
      <c r="AE283" s="8">
        <v>46155.560022106481</v>
      </c>
      <c r="AF283" s="6">
        <f t="shared" ref="AF283" si="319">S283/AC283</f>
        <v>0.95427134479999998</v>
      </c>
      <c r="AG283" s="6" t="b">
        <f>+Tabla9[[#This Row],[CUMPLIMIENTO]]&lt;100%</f>
        <v>1</v>
      </c>
      <c r="AH283" s="12">
        <f>((( (Tabla9[[#This Row],[FTP_CIERRE_MES]]/100)+1)^(30/360) -1)*(36000/30))/36000</f>
        <v>1.2239493171416853E-4</v>
      </c>
      <c r="AI283" s="3">
        <f>Tabla9[[#This Row],[FTP_DIARIO]]*Tabla9[[#This Row],[SALDO_PROM_CORREGIDO]]*Tabla9[[#This Row],[DIAS]]</f>
        <v>7007.8785650150257</v>
      </c>
      <c r="AJ283" s="3">
        <f>Tabla9[[#This Row],[REAL_FTP_MONTO]]-Tabla9[[#This Row],[INT_REAL]]</f>
        <v>5424.5185650150261</v>
      </c>
      <c r="AK283" s="3">
        <f>Tabla9[[#This Row],[FTP_DIARIO]]*Tabla9[[#This Row],[COMPROMISO]]*Tabla9[[#This Row],[DIAS]]</f>
        <v>7343.6959028501115</v>
      </c>
      <c r="AL283" s="13">
        <f>((( (Tabla9[[#This Row],[TASA_INT]])+1)^(30/360) -1)*(36000/30))/36000</f>
        <v>2.7651270478205405E-5</v>
      </c>
      <c r="AM283" s="3">
        <f>Tabla9[[#This Row],[TEA DIARIA]]*Tabla9[[#This Row],[SALDO_PROM_CORREGIDO]]*Tabla9[[#This Row],[DIAS]]</f>
        <v>1583.2089038799365</v>
      </c>
      <c r="AN283" s="3">
        <f>Tabla9[[#This Row],[TEA DIARIA]]*Tabla9[[#This Row],[COMPROMISO]]*Tabla9[[#This Row],[DIAS]]</f>
        <v>1659.0762286923243</v>
      </c>
      <c r="AO283" s="14">
        <f>+Tabla9[[#This Row],[PROYECTADO_FTP_MONTO]]-Tabla9[[#This Row],[PROYECCION_INTERES]]</f>
        <v>5684.6196741577869</v>
      </c>
      <c r="AP283" s="3">
        <f>Tabla9[[#This Row],[PROYECCION_MARGEN(FTP - Int compromiso)]]-Tabla9[[#This Row],[REAL_MARGEN(FTP - Int)]]</f>
        <v>260.10110914276083</v>
      </c>
    </row>
    <row r="284" spans="1:42" x14ac:dyDescent="0.35">
      <c r="A284">
        <v>202604</v>
      </c>
      <c r="B284" s="7">
        <v>46142</v>
      </c>
      <c r="C284">
        <v>21699748</v>
      </c>
      <c r="D284" t="s">
        <v>29</v>
      </c>
      <c r="E284" t="s">
        <v>40</v>
      </c>
      <c r="F284" t="s">
        <v>237</v>
      </c>
      <c r="G284" t="s">
        <v>40</v>
      </c>
      <c r="H284" t="s">
        <v>509</v>
      </c>
      <c r="I284" t="s">
        <v>243</v>
      </c>
      <c r="J284" t="str">
        <f t="shared" ref="J284" si="320">IF(I284="SOLES","4.4963","3.388")</f>
        <v>4.4963</v>
      </c>
      <c r="K284" t="s">
        <v>32</v>
      </c>
      <c r="L284" t="s">
        <v>33</v>
      </c>
      <c r="M284" t="s">
        <v>31</v>
      </c>
      <c r="N284" t="s">
        <v>483</v>
      </c>
      <c r="O284" t="s">
        <v>44</v>
      </c>
      <c r="P284" s="3">
        <v>55428.819100000001</v>
      </c>
      <c r="Q284" s="3">
        <v>32129.13</v>
      </c>
      <c r="R284" s="4">
        <v>4.4999999999999998E-2</v>
      </c>
      <c r="S284" s="3">
        <f>+Tabla9[[#This Row],[SAL_PROM_SOL]]</f>
        <v>55428.819100000001</v>
      </c>
      <c r="T284" s="4">
        <v>3.9E-2</v>
      </c>
      <c r="U284" s="4">
        <v>6.0000000000000001E-3</v>
      </c>
      <c r="V284" s="3">
        <v>203.52950000000001</v>
      </c>
      <c r="W284" s="3">
        <v>176.99090000000001</v>
      </c>
      <c r="X284" s="3">
        <v>26.538599999999999</v>
      </c>
      <c r="Y284" s="3">
        <v>12.109</v>
      </c>
      <c r="Z284" s="3">
        <v>14.429600000000001</v>
      </c>
      <c r="AA284">
        <v>30</v>
      </c>
      <c r="AB284" t="b">
        <f t="shared" si="279"/>
        <v>1</v>
      </c>
      <c r="AC284" s="3">
        <v>100000</v>
      </c>
      <c r="AD284" t="s">
        <v>46</v>
      </c>
      <c r="AE284" s="8">
        <v>46155.560022106481</v>
      </c>
      <c r="AF284" s="6">
        <f t="shared" ref="AF284" si="321">S284/AC284</f>
        <v>0.55428819100000004</v>
      </c>
      <c r="AG284" s="6" t="b">
        <f>+Tabla9[[#This Row],[CUMPLIMIENTO]]&lt;100%</f>
        <v>1</v>
      </c>
      <c r="AH284" s="12">
        <f>((( (Tabla9[[#This Row],[FTP_CIERRE_MES]]/100)+1)^(30/360) -1)*(36000/30))/36000</f>
        <v>1.2239493171416853E-4</v>
      </c>
      <c r="AI284" s="3">
        <f>Tabla9[[#This Row],[FTP_DIARIO]]*Tabla9[[#This Row],[SALDO_PROM_CORREGIDO]]*Tabla9[[#This Row],[DIAS]]</f>
        <v>203.526195862245</v>
      </c>
      <c r="AJ284" s="3">
        <f>Tabla9[[#This Row],[REAL_FTP_MONTO]]-Tabla9[[#This Row],[INT_REAL]]</f>
        <v>26.535295862244993</v>
      </c>
      <c r="AK284" s="3">
        <f>Tabla9[[#This Row],[FTP_DIARIO]]*Tabla9[[#This Row],[COMPROMISO]]*Tabla9[[#This Row],[DIAS]]</f>
        <v>367.18479514250555</v>
      </c>
      <c r="AL284" s="13">
        <f>((( (Tabla9[[#This Row],[TASA_INT]])+1)^(30/360) -1)*(36000/30))/36000</f>
        <v>1.0644379359607085E-4</v>
      </c>
      <c r="AM284" s="3">
        <f>Tabla9[[#This Row],[TEA DIARIA]]*Tabla9[[#This Row],[SALDO_PROM_CORREGIDO]]*Tabla9[[#This Row],[DIAS]]</f>
        <v>177.00161338663048</v>
      </c>
      <c r="AN284" s="3">
        <f>Tabla9[[#This Row],[TEA DIARIA]]*Tabla9[[#This Row],[COMPROMISO]]*Tabla9[[#This Row],[DIAS]]</f>
        <v>319.33138078821258</v>
      </c>
      <c r="AO284" s="14">
        <f>+Tabla9[[#This Row],[PROYECTADO_FTP_MONTO]]-Tabla9[[#This Row],[PROYECCION_INTERES]]</f>
        <v>47.853414354292966</v>
      </c>
      <c r="AP284" s="3">
        <f>Tabla9[[#This Row],[PROYECCION_MARGEN(FTP - Int compromiso)]]-Tabla9[[#This Row],[REAL_MARGEN(FTP - Int)]]</f>
        <v>21.318118492047972</v>
      </c>
    </row>
    <row r="285" spans="1:42" x14ac:dyDescent="0.35">
      <c r="A285">
        <v>202604</v>
      </c>
      <c r="B285" s="7">
        <v>46142</v>
      </c>
      <c r="C285">
        <v>21727352</v>
      </c>
      <c r="D285" t="s">
        <v>29</v>
      </c>
      <c r="E285" t="s">
        <v>35</v>
      </c>
      <c r="F285" t="s">
        <v>238</v>
      </c>
      <c r="G285" t="s">
        <v>35</v>
      </c>
      <c r="H285" t="s">
        <v>518</v>
      </c>
      <c r="I285" t="s">
        <v>243</v>
      </c>
      <c r="J285" t="str">
        <f t="shared" ref="J285" si="322">IF(I285="SOLES","4.4963","3.388")</f>
        <v>4.4963</v>
      </c>
      <c r="K285" t="s">
        <v>32</v>
      </c>
      <c r="L285" t="s">
        <v>33</v>
      </c>
      <c r="M285" t="s">
        <v>31</v>
      </c>
      <c r="N285" t="s">
        <v>432</v>
      </c>
      <c r="O285" t="s">
        <v>44</v>
      </c>
      <c r="P285" s="3">
        <v>155465.21859999999</v>
      </c>
      <c r="Q285" s="3">
        <v>1210016.3500000001</v>
      </c>
      <c r="R285" s="4">
        <v>4.4999999999999998E-2</v>
      </c>
      <c r="S285" s="3">
        <f>+Tabla9[[#This Row],[SAL_PROM_SOL]]</f>
        <v>155465.21859999999</v>
      </c>
      <c r="T285" s="4">
        <v>3.6299999999999999E-2</v>
      </c>
      <c r="U285" s="4">
        <v>8.6999999999999994E-3</v>
      </c>
      <c r="V285" s="3">
        <v>570.83910000000003</v>
      </c>
      <c r="W285" s="3">
        <v>462.47059999999999</v>
      </c>
      <c r="X285" s="3">
        <v>108.3685</v>
      </c>
      <c r="Y285" s="3">
        <v>43.9499</v>
      </c>
      <c r="Z285" s="3">
        <v>64.418599999999998</v>
      </c>
      <c r="AA285">
        <v>30</v>
      </c>
      <c r="AB285" t="b">
        <f t="shared" si="279"/>
        <v>1</v>
      </c>
      <c r="AC285" s="3">
        <v>50000</v>
      </c>
      <c r="AD285" t="s">
        <v>46</v>
      </c>
      <c r="AE285" s="8">
        <v>46155.560022106481</v>
      </c>
      <c r="AF285" s="6">
        <f t="shared" ref="AF285" si="323">S285/AC285</f>
        <v>3.109304372</v>
      </c>
      <c r="AG285" s="6" t="b">
        <f>+Tabla9[[#This Row],[CUMPLIMIENTO]]&lt;100%</f>
        <v>0</v>
      </c>
      <c r="AH285" s="12">
        <f>((( (Tabla9[[#This Row],[FTP_CIERRE_MES]]/100)+1)^(30/360) -1)*(36000/30))/36000</f>
        <v>1.2239493171416853E-4</v>
      </c>
      <c r="AI285" s="3">
        <f>Tabla9[[#This Row],[FTP_DIARIO]]*Tabla9[[#This Row],[SALDO_PROM_CORREGIDO]]*Tabla9[[#This Row],[DIAS]]</f>
        <v>570.8446444342585</v>
      </c>
      <c r="AJ285" s="3">
        <f>Tabla9[[#This Row],[REAL_FTP_MONTO]]-Tabla9[[#This Row],[INT_REAL]]</f>
        <v>108.37404443425851</v>
      </c>
      <c r="AK285" s="3">
        <f>Tabla9[[#This Row],[FTP_DIARIO]]*Tabla9[[#This Row],[COMPROMISO]]*Tabla9[[#This Row],[DIAS]]</f>
        <v>183.59239757125277</v>
      </c>
      <c r="AL285" s="13">
        <f>((( (Tabla9[[#This Row],[TASA_INT]])+1)^(30/360) -1)*(36000/30))/36000</f>
        <v>9.9193624054623919E-5</v>
      </c>
      <c r="AM285" s="3">
        <f>Tabla9[[#This Row],[TEA DIARIA]]*Tabla9[[#This Row],[SALDO_PROM_CORREGIDO]]*Tabla9[[#This Row],[DIAS]]</f>
        <v>462.63475342134973</v>
      </c>
      <c r="AN285" s="3">
        <f>Tabla9[[#This Row],[TEA DIARIA]]*Tabla9[[#This Row],[COMPROMISO]]*Tabla9[[#This Row],[DIAS]]</f>
        <v>148.79043608193589</v>
      </c>
      <c r="AO285" s="14">
        <f>+Tabla9[[#This Row],[PROYECTADO_FTP_MONTO]]-Tabla9[[#This Row],[PROYECCION_INTERES]]</f>
        <v>34.801961489316881</v>
      </c>
      <c r="AP285" s="3">
        <f>Tabla9[[#This Row],[PROYECCION_MARGEN(FTP - Int compromiso)]]-Tabla9[[#This Row],[REAL_MARGEN(FTP - Int)]]</f>
        <v>-73.572082944941627</v>
      </c>
    </row>
    <row r="286" spans="1:42" x14ac:dyDescent="0.35">
      <c r="A286">
        <v>202604</v>
      </c>
      <c r="B286" s="7">
        <v>46142</v>
      </c>
      <c r="C286">
        <v>21797006</v>
      </c>
      <c r="D286" t="s">
        <v>36</v>
      </c>
      <c r="E286" t="s">
        <v>37</v>
      </c>
      <c r="F286" t="s">
        <v>239</v>
      </c>
      <c r="G286" t="s">
        <v>37</v>
      </c>
      <c r="H286" t="s">
        <v>498</v>
      </c>
      <c r="I286" t="s">
        <v>244</v>
      </c>
      <c r="J286" t="str">
        <f t="shared" ref="J286" si="324">IF(I286="SOLES","4.4963","3.388")</f>
        <v>3.388</v>
      </c>
      <c r="K286" t="s">
        <v>32</v>
      </c>
      <c r="L286" t="s">
        <v>33</v>
      </c>
      <c r="M286" t="s">
        <v>34</v>
      </c>
      <c r="N286" t="s">
        <v>484</v>
      </c>
      <c r="O286" t="s">
        <v>44</v>
      </c>
      <c r="P286" s="3">
        <v>112400.5912</v>
      </c>
      <c r="Q286" s="3">
        <v>154973.93210000001</v>
      </c>
      <c r="R286" s="4">
        <v>3.39E-2</v>
      </c>
      <c r="S286" s="3">
        <f>+Tabla9[[#This Row],[SAL_PROM_SOL]]</f>
        <v>112400.5912</v>
      </c>
      <c r="T286" s="4">
        <v>3.5000000000000001E-3</v>
      </c>
      <c r="U286" s="4">
        <v>3.04E-2</v>
      </c>
      <c r="V286" s="3">
        <v>312.52109999999999</v>
      </c>
      <c r="W286" s="3">
        <v>32.742899999999999</v>
      </c>
      <c r="X286" s="3">
        <v>279.77820000000003</v>
      </c>
      <c r="Y286" s="3">
        <v>40.214199999999998</v>
      </c>
      <c r="Z286" s="3">
        <v>239.56399999999999</v>
      </c>
      <c r="AA286">
        <v>30</v>
      </c>
      <c r="AB286" t="b">
        <f t="shared" si="279"/>
        <v>1</v>
      </c>
      <c r="AC286" s="3">
        <v>15000000</v>
      </c>
      <c r="AD286" t="s">
        <v>46</v>
      </c>
      <c r="AE286" s="8">
        <v>46155.560022106481</v>
      </c>
      <c r="AF286" s="6">
        <f t="shared" ref="AF286" si="325">S286/AC286</f>
        <v>7.4933727466666667E-3</v>
      </c>
      <c r="AG286" s="6" t="b">
        <f>+Tabla9[[#This Row],[CUMPLIMIENTO]]&lt;100%</f>
        <v>1</v>
      </c>
      <c r="AH286" s="12">
        <f>((( (Tabla9[[#This Row],[FTP_CIERRE_MES]]/100)+1)^(30/360) -1)*(36000/30))/36000</f>
        <v>9.2680593701059222E-5</v>
      </c>
      <c r="AI286" s="3">
        <f>Tabla9[[#This Row],[FTP_DIARIO]]*Tabla9[[#This Row],[SALDO_PROM_CORREGIDO]]*Tabla9[[#This Row],[DIAS]]</f>
        <v>312.52060574298156</v>
      </c>
      <c r="AJ286" s="3">
        <f>Tabla9[[#This Row],[REAL_FTP_MONTO]]-Tabla9[[#This Row],[INT_REAL]]</f>
        <v>279.77770574298154</v>
      </c>
      <c r="AK286" s="3">
        <f>Tabla9[[#This Row],[FTP_DIARIO]]*Tabla9[[#This Row],[COMPROMISO]]*Tabla9[[#This Row],[DIAS]]</f>
        <v>41706.267165476653</v>
      </c>
      <c r="AL286" s="13">
        <f>((( (Tabla9[[#This Row],[TASA_INT]])+1)^(30/360) -1)*(36000/30))/36000</f>
        <v>9.7066609431835826E-6</v>
      </c>
      <c r="AM286" s="3">
        <f>Tabla9[[#This Row],[TEA DIARIA]]*Tabla9[[#This Row],[SALDO_PROM_CORREGIDO]]*Tabla9[[#This Row],[DIAS]]</f>
        <v>32.731032857753533</v>
      </c>
      <c r="AN286" s="3">
        <f>Tabla9[[#This Row],[TEA DIARIA]]*Tabla9[[#This Row],[COMPROMISO]]*Tabla9[[#This Row],[DIAS]]</f>
        <v>4367.9974244326122</v>
      </c>
      <c r="AO286" s="14">
        <f>+Tabla9[[#This Row],[PROYECTADO_FTP_MONTO]]-Tabla9[[#This Row],[PROYECCION_INTERES]]</f>
        <v>37338.269741044038</v>
      </c>
      <c r="AP286" s="3">
        <f>Tabla9[[#This Row],[PROYECCION_MARGEN(FTP - Int compromiso)]]-Tabla9[[#This Row],[REAL_MARGEN(FTP - Int)]]</f>
        <v>37058.492035301053</v>
      </c>
    </row>
    <row r="287" spans="1:42" x14ac:dyDescent="0.35">
      <c r="A287">
        <v>202604</v>
      </c>
      <c r="B287" s="7">
        <v>46142</v>
      </c>
      <c r="C287">
        <v>21824758</v>
      </c>
      <c r="D287" t="s">
        <v>36</v>
      </c>
      <c r="E287" t="s">
        <v>37</v>
      </c>
      <c r="F287" t="s">
        <v>240</v>
      </c>
      <c r="G287" t="s">
        <v>37</v>
      </c>
      <c r="H287" t="s">
        <v>498</v>
      </c>
      <c r="I287" t="s">
        <v>244</v>
      </c>
      <c r="J287" t="str">
        <f t="shared" ref="J287" si="326">IF(I287="SOLES","4.4963","3.388")</f>
        <v>3.388</v>
      </c>
      <c r="K287" t="s">
        <v>32</v>
      </c>
      <c r="L287" t="s">
        <v>33</v>
      </c>
      <c r="M287" t="s">
        <v>34</v>
      </c>
      <c r="N287" t="s">
        <v>485</v>
      </c>
      <c r="O287" t="s">
        <v>44</v>
      </c>
      <c r="P287" s="3">
        <v>223213.02970000001</v>
      </c>
      <c r="Q287" s="3">
        <v>142798.88699999999</v>
      </c>
      <c r="R287" s="4">
        <v>3.39E-2</v>
      </c>
      <c r="S287" s="3">
        <f>+Tabla9[[#This Row],[SAL_PROM_SOL]]</f>
        <v>223213.02970000001</v>
      </c>
      <c r="T287" s="4">
        <v>3.5000000000000001E-3</v>
      </c>
      <c r="U287" s="4">
        <v>3.04E-2</v>
      </c>
      <c r="V287" s="3">
        <v>620.63520000000005</v>
      </c>
      <c r="W287" s="3">
        <v>65.003799999999998</v>
      </c>
      <c r="X287" s="3">
        <v>555.63139999999999</v>
      </c>
      <c r="Y287" s="3">
        <v>41.212699999999998</v>
      </c>
      <c r="Z287" s="3">
        <v>514.41869999999994</v>
      </c>
      <c r="AA287">
        <v>30</v>
      </c>
      <c r="AB287" t="b">
        <f t="shared" si="279"/>
        <v>1</v>
      </c>
      <c r="AC287" s="3">
        <v>15000000</v>
      </c>
      <c r="AD287" t="s">
        <v>46</v>
      </c>
      <c r="AE287" s="8">
        <v>46155.560022106481</v>
      </c>
      <c r="AF287" s="6">
        <f t="shared" ref="AF287" si="327">S287/AC287</f>
        <v>1.4880868646666668E-2</v>
      </c>
      <c r="AG287" s="6" t="b">
        <f>+Tabla9[[#This Row],[CUMPLIMIENTO]]&lt;100%</f>
        <v>1</v>
      </c>
      <c r="AH287" s="12">
        <f>((( (Tabla9[[#This Row],[FTP_CIERRE_MES]]/100)+1)^(30/360) -1)*(36000/30))/36000</f>
        <v>9.2680593701059222E-5</v>
      </c>
      <c r="AI287" s="3">
        <f>Tabla9[[#This Row],[FTP_DIARIO]]*Tabla9[[#This Row],[SALDO_PROM_CORREGIDO]]*Tabla9[[#This Row],[DIAS]]</f>
        <v>620.62548343224501</v>
      </c>
      <c r="AJ287" s="3">
        <f>Tabla9[[#This Row],[REAL_FTP_MONTO]]-Tabla9[[#This Row],[INT_REAL]]</f>
        <v>555.62168343224505</v>
      </c>
      <c r="AK287" s="3">
        <f>Tabla9[[#This Row],[FTP_DIARIO]]*Tabla9[[#This Row],[COMPROMISO]]*Tabla9[[#This Row],[DIAS]]</f>
        <v>41706.267165476653</v>
      </c>
      <c r="AL287" s="13">
        <f>((( (Tabla9[[#This Row],[TASA_INT]])+1)^(30/360) -1)*(36000/30))/36000</f>
        <v>9.7066609431835826E-6</v>
      </c>
      <c r="AM287" s="3">
        <f>Tabla9[[#This Row],[TEA DIARIA]]*Tabla9[[#This Row],[SALDO_PROM_CORREGIDO]]*Tabla9[[#This Row],[DIAS]]</f>
        <v>64.999595921960022</v>
      </c>
      <c r="AN287" s="3">
        <f>Tabla9[[#This Row],[TEA DIARIA]]*Tabla9[[#This Row],[COMPROMISO]]*Tabla9[[#This Row],[DIAS]]</f>
        <v>4367.9974244326122</v>
      </c>
      <c r="AO287" s="14">
        <f>+Tabla9[[#This Row],[PROYECTADO_FTP_MONTO]]-Tabla9[[#This Row],[PROYECCION_INTERES]]</f>
        <v>37338.269741044038</v>
      </c>
      <c r="AP287" s="3">
        <f>Tabla9[[#This Row],[PROYECCION_MARGEN(FTP - Int compromiso)]]-Tabla9[[#This Row],[REAL_MARGEN(FTP - Int)]]</f>
        <v>36782.64805761179</v>
      </c>
    </row>
    <row r="288" spans="1:42" x14ac:dyDescent="0.35">
      <c r="A288">
        <v>202604</v>
      </c>
      <c r="B288" s="7">
        <v>46142</v>
      </c>
      <c r="C288">
        <v>21916177</v>
      </c>
      <c r="D288" t="s">
        <v>29</v>
      </c>
      <c r="E288" t="s">
        <v>30</v>
      </c>
      <c r="F288" t="s">
        <v>241</v>
      </c>
      <c r="G288" t="s">
        <v>30</v>
      </c>
      <c r="H288" t="s">
        <v>516</v>
      </c>
      <c r="I288" t="s">
        <v>243</v>
      </c>
      <c r="J288" t="str">
        <f t="shared" ref="J288" si="328">IF(I288="SOLES","4.4963","3.388")</f>
        <v>4.4963</v>
      </c>
      <c r="K288" t="s">
        <v>32</v>
      </c>
      <c r="L288" t="s">
        <v>33</v>
      </c>
      <c r="M288" t="s">
        <v>31</v>
      </c>
      <c r="N288" t="s">
        <v>486</v>
      </c>
      <c r="O288" t="s">
        <v>44</v>
      </c>
      <c r="P288" s="3">
        <v>929523.40859999997</v>
      </c>
      <c r="Q288" s="3">
        <v>824965.8</v>
      </c>
      <c r="R288" s="4">
        <v>4.4999999999999998E-2</v>
      </c>
      <c r="S288" s="3">
        <f>+Tabla9[[#This Row],[SAL_PROM_SOL]]</f>
        <v>929523.40859999997</v>
      </c>
      <c r="T288" s="4">
        <v>1.9E-3</v>
      </c>
      <c r="U288" s="4">
        <v>4.3099999999999999E-2</v>
      </c>
      <c r="V288" s="3">
        <v>3413.07</v>
      </c>
      <c r="W288" s="3">
        <v>144.6198</v>
      </c>
      <c r="X288" s="3">
        <v>3268.4502000000002</v>
      </c>
      <c r="Y288" s="3">
        <v>43.9499</v>
      </c>
      <c r="Z288" s="3">
        <v>3224.5003000000002</v>
      </c>
      <c r="AA288">
        <v>30</v>
      </c>
      <c r="AB288" t="b">
        <f t="shared" si="279"/>
        <v>1</v>
      </c>
      <c r="AC288" s="3">
        <v>2700000</v>
      </c>
      <c r="AD288" t="s">
        <v>46</v>
      </c>
      <c r="AE288" s="8">
        <v>46155.560022106481</v>
      </c>
      <c r="AF288" s="6">
        <f t="shared" ref="AF288" si="329">S288/AC288</f>
        <v>0.34426792911111109</v>
      </c>
      <c r="AG288" s="6" t="b">
        <f>+Tabla9[[#This Row],[CUMPLIMIENTO]]&lt;100%</f>
        <v>1</v>
      </c>
      <c r="AH288" s="12">
        <f>((( (Tabla9[[#This Row],[FTP_CIERRE_MES]]/100)+1)^(30/360) -1)*(36000/30))/36000</f>
        <v>1.2239493171416853E-4</v>
      </c>
      <c r="AI288" s="3">
        <f>Tabla9[[#This Row],[FTP_DIARIO]]*Tabla9[[#This Row],[SALDO_PROM_CORREGIDO]]*Tabla9[[#This Row],[DIAS]]</f>
        <v>3413.0686236695451</v>
      </c>
      <c r="AJ288" s="3">
        <f>Tabla9[[#This Row],[REAL_FTP_MONTO]]-Tabla9[[#This Row],[INT_REAL]]</f>
        <v>3268.4488236695452</v>
      </c>
      <c r="AK288" s="3">
        <f>Tabla9[[#This Row],[FTP_DIARIO]]*Tabla9[[#This Row],[COMPROMISO]]*Tabla9[[#This Row],[DIAS]]</f>
        <v>9913.9894688476506</v>
      </c>
      <c r="AL288" s="13">
        <f>((( (Tabla9[[#This Row],[TASA_INT]])+1)^(30/360) -1)*(36000/30))/36000</f>
        <v>5.2731872843603259E-6</v>
      </c>
      <c r="AM288" s="3">
        <f>Tabla9[[#This Row],[TEA DIARIA]]*Tabla9[[#This Row],[SALDO_PROM_CORREGIDO]]*Tabla9[[#This Row],[DIAS]]</f>
        <v>147.04653056234363</v>
      </c>
      <c r="AN288" s="3">
        <f>Tabla9[[#This Row],[TEA DIARIA]]*Tabla9[[#This Row],[COMPROMISO]]*Tabla9[[#This Row],[DIAS]]</f>
        <v>427.12817003318645</v>
      </c>
      <c r="AO288" s="14">
        <f>+Tabla9[[#This Row],[PROYECTADO_FTP_MONTO]]-Tabla9[[#This Row],[PROYECCION_INTERES]]</f>
        <v>9486.861298814465</v>
      </c>
      <c r="AP288" s="3">
        <f>Tabla9[[#This Row],[PROYECCION_MARGEN(FTP - Int compromiso)]]-Tabla9[[#This Row],[REAL_MARGEN(FTP - Int)]]</f>
        <v>6218.4124751449199</v>
      </c>
    </row>
    <row r="289" spans="1:42" x14ac:dyDescent="0.35">
      <c r="A289">
        <v>202604</v>
      </c>
      <c r="B289" s="7">
        <v>46142</v>
      </c>
      <c r="C289">
        <v>22070662</v>
      </c>
      <c r="D289" t="s">
        <v>36</v>
      </c>
      <c r="E289" t="s">
        <v>38</v>
      </c>
      <c r="F289" t="s">
        <v>242</v>
      </c>
      <c r="G289" t="s">
        <v>38</v>
      </c>
      <c r="H289" t="s">
        <v>528</v>
      </c>
      <c r="I289" t="s">
        <v>243</v>
      </c>
      <c r="J289" t="str">
        <f t="shared" ref="J289" si="330">IF(I289="SOLES","4.4963","3.388")</f>
        <v>4.4963</v>
      </c>
      <c r="K289" t="s">
        <v>32</v>
      </c>
      <c r="L289" t="s">
        <v>33</v>
      </c>
      <c r="M289" t="s">
        <v>31</v>
      </c>
      <c r="N289" t="s">
        <v>328</v>
      </c>
      <c r="O289" t="s">
        <v>44</v>
      </c>
      <c r="P289" s="3">
        <v>6641455.1993000004</v>
      </c>
      <c r="Q289" s="3">
        <v>5879075.5</v>
      </c>
      <c r="R289" s="4">
        <v>4.4999999999999998E-2</v>
      </c>
      <c r="S289" s="3">
        <f>+Tabla9[[#This Row],[SAL_PROM_SOL]]</f>
        <v>6641455.1993000004</v>
      </c>
      <c r="T289" s="4">
        <v>2.1999999999999999E-2</v>
      </c>
      <c r="U289" s="4">
        <v>2.3E-2</v>
      </c>
      <c r="V289" s="3">
        <v>24386.410899999999</v>
      </c>
      <c r="W289" s="3">
        <v>12054.2012</v>
      </c>
      <c r="X289" s="3">
        <v>12332.209699999999</v>
      </c>
      <c r="Y289" s="3">
        <v>43.9499</v>
      </c>
      <c r="Z289" s="3">
        <v>12288.2598</v>
      </c>
      <c r="AA289">
        <v>30</v>
      </c>
      <c r="AB289" t="b">
        <f t="shared" si="279"/>
        <v>1</v>
      </c>
      <c r="AC289" s="3">
        <v>6000000</v>
      </c>
      <c r="AD289" t="s">
        <v>46</v>
      </c>
      <c r="AE289" s="8">
        <v>46155.560022106481</v>
      </c>
      <c r="AF289" s="6">
        <f t="shared" ref="AF289" si="331">S289/AC289</f>
        <v>1.1069091998833334</v>
      </c>
      <c r="AG289" s="6" t="b">
        <f>+Tabla9[[#This Row],[CUMPLIMIENTO]]&lt;100%</f>
        <v>0</v>
      </c>
      <c r="AH289" s="12">
        <f>((( (Tabla9[[#This Row],[FTP_CIERRE_MES]]/100)+1)^(30/360) -1)*(36000/30))/36000</f>
        <v>1.2239493171416853E-4</v>
      </c>
      <c r="AI289" s="3">
        <f>Tabla9[[#This Row],[FTP_DIARIO]]*Tabla9[[#This Row],[SALDO_PROM_CORREGIDO]]*Tabla9[[#This Row],[DIAS]]</f>
        <v>24386.413668030993</v>
      </c>
      <c r="AJ289" s="3">
        <f>Tabla9[[#This Row],[REAL_FTP_MONTO]]-Tabla9[[#This Row],[INT_REAL]]</f>
        <v>12332.212468030993</v>
      </c>
      <c r="AK289" s="3">
        <f>Tabla9[[#This Row],[FTP_DIARIO]]*Tabla9[[#This Row],[COMPROMISO]]*Tabla9[[#This Row],[DIAS]]</f>
        <v>22031.087708550334</v>
      </c>
      <c r="AL289" s="13">
        <f>((( (Tabla9[[#This Row],[TASA_INT]])+1)^(30/360) -1)*(36000/30))/36000</f>
        <v>6.0503431906548205E-5</v>
      </c>
      <c r="AM289" s="3">
        <f>Tabla9[[#This Row],[TEA DIARIA]]*Tabla9[[#This Row],[SALDO_PROM_CORREGIDO]]*Tabla9[[#This Row],[DIAS]]</f>
        <v>12054.924972337143</v>
      </c>
      <c r="AN289" s="3">
        <f>Tabla9[[#This Row],[TEA DIARIA]]*Tabla9[[#This Row],[COMPROMISO]]*Tabla9[[#This Row],[DIAS]]</f>
        <v>10890.617743178676</v>
      </c>
      <c r="AO289" s="14">
        <f>+Tabla9[[#This Row],[PROYECTADO_FTP_MONTO]]-Tabla9[[#This Row],[PROYECCION_INTERES]]</f>
        <v>11140.469965371658</v>
      </c>
      <c r="AP289" s="3">
        <f>Tabla9[[#This Row],[PROYECCION_MARGEN(FTP - Int compromiso)]]-Tabla9[[#This Row],[REAL_MARGEN(FTP - Int)]]</f>
        <v>-1191.7425026593355</v>
      </c>
    </row>
  </sheetData>
  <pageMargins left="0.7" right="0.7" top="0.75" bottom="0.75" header="0.3" footer="0.3"/>
  <legacy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711fb7e-de12-4c44-88e6-aeaebe576091" xsi:nil="true"/>
    <lcf76f155ced4ddcb4097134ff3c332f xmlns="7bfe6fe7-f29f-4eb4-8246-ea157afd56c3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D1082057A55C7468FF2E4B4CD200C62" ma:contentTypeVersion="11" ma:contentTypeDescription="Crear nuevo documento." ma:contentTypeScope="" ma:versionID="baed880287024b40e27710dea924ea36">
  <xsd:schema xmlns:xsd="http://www.w3.org/2001/XMLSchema" xmlns:xs="http://www.w3.org/2001/XMLSchema" xmlns:p="http://schemas.microsoft.com/office/2006/metadata/properties" xmlns:ns2="7bfe6fe7-f29f-4eb4-8246-ea157afd56c3" xmlns:ns3="6711fb7e-de12-4c44-88e6-aeaebe576091" targetNamespace="http://schemas.microsoft.com/office/2006/metadata/properties" ma:root="true" ma:fieldsID="81c5014439483e17e516133deec60cb0" ns2:_="" ns3:_="">
    <xsd:import namespace="7bfe6fe7-f29f-4eb4-8246-ea157afd56c3"/>
    <xsd:import namespace="6711fb7e-de12-4c44-88e6-aeaebe5760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fe6fe7-f29f-4eb4-8246-ea157afd56c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536f5af2-fc6c-420d-9bfd-1e8839ff1f6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11fb7e-de12-4c44-88e6-aeaebe576091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340da36f-a9db-467d-953d-ea04fd41f0d9}" ma:internalName="TaxCatchAll" ma:showField="CatchAllData" ma:web="6711fb7e-de12-4c44-88e6-aeaebe5760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ABD081B-826F-4868-A1EC-2C606C7B70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294C27C-E6A3-4710-912B-E29EA2F8B524}">
  <ds:schemaRefs>
    <ds:schemaRef ds:uri="http://schemas.microsoft.com/office/2006/documentManagement/types"/>
    <ds:schemaRef ds:uri="http://purl.org/dc/terms/"/>
    <ds:schemaRef ds:uri="http://purl.org/dc/dcmitype/"/>
    <ds:schemaRef ds:uri="6711fb7e-de12-4c44-88e6-aeaebe576091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7bfe6fe7-f29f-4eb4-8246-ea157afd56c3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8668C303-9D6B-4E02-B5A2-851B1244B0C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bfe6fe7-f29f-4eb4-8246-ea157afd56c3"/>
    <ds:schemaRef ds:uri="6711fb7e-de12-4c44-88e6-aeaebe5760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Abril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Porta Rodriguez, Camila</dc:creator>
  <cp:lastModifiedBy>Aquino Ynga, Kelvin</cp:lastModifiedBy>
  <dcterms:created xsi:type="dcterms:W3CDTF">2026-06-11T21:45:25Z</dcterms:created>
  <dcterms:modified xsi:type="dcterms:W3CDTF">2026-06-15T04:07:06Z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0x010100DD1082057A55C7468FF2E4B4CD200C62</vt:lpwstr>
  </property>
  <property fmtid="{D5CDD505-2E9C-101B-9397-08002B2CF9AE}" pid="3" name="MediaServiceImageTags">
    <vt:lpwstr/>
  </property>
</Properties>
</file>